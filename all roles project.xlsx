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3.xml" ContentType="application/vnd.openxmlformats-officedocument.spreadsheetml.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yashree\OneDrive\Desktop\"/>
    </mc:Choice>
  </mc:AlternateContent>
  <xr:revisionPtr revIDLastSave="0" documentId="13_ncr:1_{0CEAC5C9-B4A8-4492-8217-F2FFB117A77B}" xr6:coauthVersionLast="47" xr6:coauthVersionMax="47" xr10:uidLastSave="{00000000-0000-0000-0000-000000000000}"/>
  <bookViews>
    <workbookView xWindow="-108" yWindow="-108" windowWidth="23256" windowHeight="12456" firstSheet="2" activeTab="3" xr2:uid="{C546F94B-C3E8-4661-A1BF-667795332B3E}"/>
  </bookViews>
  <sheets>
    <sheet name="Data sheet" sheetId="1" r:id="rId1"/>
    <sheet name="OPERATIONS EXECUTIVE ROLE _x0009_" sheetId="2" r:id="rId2"/>
    <sheet name="MIS EXECUTIVE - REPORTING EXECU" sheetId="3" r:id="rId3"/>
    <sheet name="powerbi desktop" sheetId="6" r:id="rId4"/>
    <sheet name="Accounts MIS Executive Finance " sheetId="5" r:id="rId5"/>
  </sheets>
  <calcPr calcId="191029"/>
  <pivotCaches>
    <pivotCache cacheId="50" r:id="rId6"/>
    <pivotCache cacheId="58" r:id="rId7"/>
    <pivotCache cacheId="6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" i="5" l="1"/>
  <c r="N16" i="5"/>
  <c r="N22" i="5"/>
  <c r="N28" i="5"/>
  <c r="N34" i="5"/>
  <c r="N40" i="5"/>
  <c r="N44" i="5"/>
  <c r="N50" i="5"/>
  <c r="N54" i="5"/>
  <c r="N9" i="5"/>
  <c r="N21" i="5"/>
  <c r="N30" i="5"/>
  <c r="N33" i="5"/>
  <c r="O8" i="5"/>
  <c r="O15" i="5" s="1"/>
  <c r="M33" i="5"/>
  <c r="M30" i="5"/>
  <c r="M27" i="5"/>
  <c r="N27" i="5" s="1"/>
  <c r="M24" i="5"/>
  <c r="N24" i="5" s="1"/>
  <c r="M21" i="5"/>
  <c r="M20" i="5"/>
  <c r="N20" i="5" s="1"/>
  <c r="M15" i="5"/>
  <c r="N15" i="5" s="1"/>
  <c r="M12" i="5"/>
  <c r="N12" i="5" s="1"/>
  <c r="M9" i="5"/>
  <c r="M8" i="5"/>
  <c r="N8" i="5" s="1"/>
  <c r="M56" i="5"/>
  <c r="N56" i="5" s="1"/>
  <c r="M55" i="5"/>
  <c r="N55" i="5" s="1"/>
  <c r="M54" i="5"/>
  <c r="M53" i="5"/>
  <c r="N53" i="5" s="1"/>
  <c r="M52" i="5"/>
  <c r="N52" i="5" s="1"/>
  <c r="M51" i="5"/>
  <c r="N51" i="5" s="1"/>
  <c r="M50" i="5"/>
  <c r="M49" i="5"/>
  <c r="N49" i="5" s="1"/>
  <c r="M48" i="5"/>
  <c r="N48" i="5" s="1"/>
  <c r="M46" i="5"/>
  <c r="N46" i="5" s="1"/>
  <c r="M44" i="5"/>
  <c r="M43" i="5"/>
  <c r="N43" i="5" s="1"/>
  <c r="M42" i="5"/>
  <c r="N42" i="5" s="1"/>
  <c r="M41" i="5"/>
  <c r="N41" i="5" s="1"/>
  <c r="M40" i="5"/>
  <c r="M39" i="5"/>
  <c r="N39" i="5" s="1"/>
  <c r="M38" i="5"/>
  <c r="N38" i="5" s="1"/>
  <c r="M35" i="5"/>
  <c r="N35" i="5" s="1"/>
  <c r="M34" i="5"/>
  <c r="M32" i="5"/>
  <c r="N32" i="5" s="1"/>
  <c r="M31" i="5"/>
  <c r="N31" i="5" s="1"/>
  <c r="M29" i="5"/>
  <c r="N29" i="5" s="1"/>
  <c r="M28" i="5"/>
  <c r="M26" i="5"/>
  <c r="N26" i="5" s="1"/>
  <c r="M25" i="5"/>
  <c r="N25" i="5" s="1"/>
  <c r="M23" i="5"/>
  <c r="N23" i="5" s="1"/>
  <c r="M22" i="5"/>
  <c r="M19" i="5"/>
  <c r="N19" i="5" s="1"/>
  <c r="M18" i="5"/>
  <c r="N18" i="5" s="1"/>
  <c r="M17" i="5"/>
  <c r="N17" i="5" s="1"/>
  <c r="M16" i="5"/>
  <c r="M14" i="5"/>
  <c r="N14" i="5" s="1"/>
  <c r="M13" i="5"/>
  <c r="N13" i="5" s="1"/>
  <c r="M11" i="5"/>
  <c r="N11" i="5" s="1"/>
  <c r="M10" i="5"/>
  <c r="M7" i="5"/>
  <c r="N7" i="5" s="1"/>
  <c r="M47" i="5"/>
  <c r="N47" i="5" s="1"/>
  <c r="M45" i="5"/>
  <c r="N45" i="5" s="1"/>
  <c r="M37" i="5"/>
  <c r="N37" i="5" s="1"/>
  <c r="M36" i="5"/>
  <c r="O7" i="5" s="1"/>
  <c r="R50" i="2"/>
  <c r="P8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P7" i="3" s="1"/>
  <c r="O9" i="3" s="1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12" i="1"/>
  <c r="M47" i="1"/>
  <c r="M35" i="1"/>
  <c r="M5" i="1"/>
  <c r="M34" i="1"/>
  <c r="M8" i="1"/>
  <c r="M51" i="1"/>
  <c r="M31" i="1"/>
  <c r="M18" i="1"/>
  <c r="M27" i="1"/>
  <c r="M45" i="1"/>
  <c r="M39" i="1"/>
  <c r="M14" i="1"/>
  <c r="M3" i="1"/>
  <c r="M50" i="1"/>
  <c r="M6" i="1"/>
  <c r="M33" i="1"/>
  <c r="M23" i="1"/>
  <c r="M32" i="1"/>
  <c r="M42" i="1"/>
  <c r="M16" i="1"/>
  <c r="M29" i="1"/>
  <c r="M41" i="1"/>
  <c r="M43" i="1"/>
  <c r="M9" i="1"/>
  <c r="M24" i="1"/>
  <c r="M19" i="1"/>
  <c r="M2" i="1"/>
  <c r="M13" i="1"/>
  <c r="M38" i="1"/>
  <c r="M11" i="1"/>
  <c r="M48" i="1"/>
  <c r="M30" i="1"/>
  <c r="M21" i="1"/>
  <c r="M36" i="1"/>
  <c r="M44" i="1"/>
  <c r="M17" i="1"/>
  <c r="M26" i="1"/>
  <c r="M15" i="1"/>
  <c r="M4" i="1"/>
  <c r="M7" i="1"/>
  <c r="M37" i="1"/>
  <c r="M20" i="1"/>
  <c r="M46" i="1"/>
  <c r="M28" i="1"/>
  <c r="M10" i="1"/>
  <c r="M40" i="1"/>
  <c r="M49" i="1"/>
  <c r="M22" i="1"/>
  <c r="M25" i="1"/>
  <c r="N36" i="5" l="1"/>
  <c r="O14" i="5"/>
  <c r="O9" i="5"/>
  <c r="O4" i="1"/>
  <c r="O16" i="5" l="1"/>
  <c r="Q39" i="5"/>
</calcChain>
</file>

<file path=xl/sharedStrings.xml><?xml version="1.0" encoding="utf-8"?>
<sst xmlns="http://schemas.openxmlformats.org/spreadsheetml/2006/main" count="1602" uniqueCount="158">
  <si>
    <t>Order_ID</t>
  </si>
  <si>
    <t>Order_Date</t>
  </si>
  <si>
    <t>Region</t>
  </si>
  <si>
    <t>Branch</t>
  </si>
  <si>
    <t>Customer</t>
  </si>
  <si>
    <t>Product</t>
  </si>
  <si>
    <t>Category</t>
  </si>
  <si>
    <t>Quantity</t>
  </si>
  <si>
    <t>Unit_Price</t>
  </si>
  <si>
    <t>Revenue</t>
  </si>
  <si>
    <t>Status</t>
  </si>
  <si>
    <t>Expense</t>
  </si>
  <si>
    <t>Payment_Mode</t>
  </si>
  <si>
    <t>South</t>
  </si>
  <si>
    <t>Chennai</t>
  </si>
  <si>
    <t>Ravi</t>
  </si>
  <si>
    <t>Laptop</t>
  </si>
  <si>
    <t>Electronics</t>
  </si>
  <si>
    <t>Delivered</t>
  </si>
  <si>
    <t>Online</t>
  </si>
  <si>
    <t>North</t>
  </si>
  <si>
    <t>Delhi</t>
  </si>
  <si>
    <t>Priya</t>
  </si>
  <si>
    <t>Mobile</t>
  </si>
  <si>
    <t>Pending</t>
  </si>
  <si>
    <t>Card</t>
  </si>
  <si>
    <t>Bangalore</t>
  </si>
  <si>
    <t>Arun</t>
  </si>
  <si>
    <t>Chair</t>
  </si>
  <si>
    <t>Furniture</t>
  </si>
  <si>
    <t>Cash</t>
  </si>
  <si>
    <t>West</t>
  </si>
  <si>
    <t>Mumbai</t>
  </si>
  <si>
    <t>Meena</t>
  </si>
  <si>
    <t>Table</t>
  </si>
  <si>
    <t>Cancelled</t>
  </si>
  <si>
    <t>East</t>
  </si>
  <si>
    <t>Kolkata</t>
  </si>
  <si>
    <t>Raj</t>
  </si>
  <si>
    <t>Headphones</t>
  </si>
  <si>
    <t>UPI</t>
  </si>
  <si>
    <t>Kumar</t>
  </si>
  <si>
    <t>Anu</t>
  </si>
  <si>
    <t>Pune</t>
  </si>
  <si>
    <t>Vikas</t>
  </si>
  <si>
    <t>Sofa</t>
  </si>
  <si>
    <t>Deepa</t>
  </si>
  <si>
    <t>TV</t>
  </si>
  <si>
    <t>Ramesh</t>
  </si>
  <si>
    <t>Sneha</t>
  </si>
  <si>
    <t>Ajay</t>
  </si>
  <si>
    <t>Kiran</t>
  </si>
  <si>
    <t>Divya</t>
  </si>
  <si>
    <t>Rahul</t>
  </si>
  <si>
    <t>Mani</t>
  </si>
  <si>
    <t>Neha</t>
  </si>
  <si>
    <t>Amit</t>
  </si>
  <si>
    <t>Pooja</t>
  </si>
  <si>
    <t>Varun</t>
  </si>
  <si>
    <t>Anil</t>
  </si>
  <si>
    <t>Ritu</t>
  </si>
  <si>
    <t>Kavya</t>
  </si>
  <si>
    <t>Sanjay</t>
  </si>
  <si>
    <t>Harish</t>
  </si>
  <si>
    <t>Nisha</t>
  </si>
  <si>
    <t>Rohan</t>
  </si>
  <si>
    <t>Megha</t>
  </si>
  <si>
    <t>Karthik</t>
  </si>
  <si>
    <t>Seema</t>
  </si>
  <si>
    <t>Ashok</t>
  </si>
  <si>
    <t>Anita</t>
  </si>
  <si>
    <t>Suresh</t>
  </si>
  <si>
    <t>Deepak</t>
  </si>
  <si>
    <t>Rekha</t>
  </si>
  <si>
    <t>Mohan</t>
  </si>
  <si>
    <t>Latha</t>
  </si>
  <si>
    <t>Rajesh</t>
  </si>
  <si>
    <t>Sunil</t>
  </si>
  <si>
    <t>Arjun</t>
  </si>
  <si>
    <t>Manoj</t>
  </si>
  <si>
    <t>Naveen</t>
  </si>
  <si>
    <t>Revenue2</t>
  </si>
  <si>
    <t>No miblank values found</t>
  </si>
  <si>
    <t>check duplicates</t>
  </si>
  <si>
    <t>No duplicates found</t>
  </si>
  <si>
    <t>Validate data accuracy</t>
  </si>
  <si>
    <t>quantity*price</t>
  </si>
  <si>
    <t xml:space="preserve"> data is already standardized'</t>
  </si>
  <si>
    <t>Standardized data</t>
  </si>
  <si>
    <t>Data sorting</t>
  </si>
  <si>
    <t>sort by date region revenue</t>
  </si>
  <si>
    <t>“I use sorting to organize data by revenue, date, and region. I also perform multi-level sorting to group and analyze business data efficiently.”</t>
  </si>
  <si>
    <t>DATA SUPPORT BACK OFFICE ROLE TASK COMPLETED</t>
  </si>
  <si>
    <t>OPERATIONS EXECUTIVE ROLE</t>
  </si>
  <si>
    <t>Management says:</t>
  </si>
  <si>
    <t>order are getting delayed</t>
  </si>
  <si>
    <t xml:space="preserve">Total pending orders </t>
  </si>
  <si>
    <t>Calculate pending percentage</t>
  </si>
  <si>
    <t>To find which region has problem</t>
  </si>
  <si>
    <t>Row Labels</t>
  </si>
  <si>
    <t>Grand Total</t>
  </si>
  <si>
    <t>Count of Order_ID</t>
  </si>
  <si>
    <t>Which branch has issue</t>
  </si>
  <si>
    <t xml:space="preserve">Find product casual delay  </t>
  </si>
  <si>
    <t>Revenue (high first)</t>
  </si>
  <si>
    <t>sort pending orders by:</t>
  </si>
  <si>
    <t>Total orders</t>
  </si>
  <si>
    <t>Pending orders</t>
  </si>
  <si>
    <t>pending percentage</t>
  </si>
  <si>
    <t>Problem region</t>
  </si>
  <si>
    <t>Problem branch</t>
  </si>
  <si>
    <t>Delay products</t>
  </si>
  <si>
    <t>Laptop Mobile TV</t>
  </si>
  <si>
    <t>“I analyzed operational data, identified that 18% orders were pending, mainly from the North region (Delhi). I used pivot tables to find root causes and suggested prioritizing high-value delayed orders.”</t>
  </si>
  <si>
    <t>PROCESS EXECUTIVE ROLE</t>
  </si>
  <si>
    <t>Give me a daily mis report with kpi and summary</t>
  </si>
  <si>
    <t>REVENUE</t>
  </si>
  <si>
    <t>EXPENSE</t>
  </si>
  <si>
    <t>Sum of Revenue2</t>
  </si>
  <si>
    <t>CREATE REGION REPORT</t>
  </si>
  <si>
    <t>CREATE CATEGORY REPORT</t>
  </si>
  <si>
    <t>TOTAL ORDERS</t>
  </si>
  <si>
    <r>
      <t xml:space="preserve">Which product gives </t>
    </r>
    <r>
      <rPr>
        <b/>
        <sz val="11"/>
        <color theme="1"/>
        <rFont val="Calibri"/>
        <family val="2"/>
        <scheme val="minor"/>
      </rPr>
      <t>highest revenue</t>
    </r>
  </si>
  <si>
    <t>Count of Revenue2</t>
  </si>
  <si>
    <t>Top Region: South</t>
  </si>
  <si>
    <t>Top Product: Laptop</t>
  </si>
  <si>
    <t>Total Revenue</t>
  </si>
  <si>
    <t>Total Orders: 57</t>
  </si>
  <si>
    <t>Pending Orders: 10 (17.5%)</t>
  </si>
  <si>
    <t>Top Branch: Delhi</t>
  </si>
  <si>
    <t>Top Category:Electronics</t>
  </si>
  <si>
    <t>“I prepared MIS reports using Excel pivot tables, calculated KPIs like revenue and profit, created region and category reports, and provided business insights for decision-making.”</t>
  </si>
  <si>
    <t>MIS EXECUTIVE / REPORTING EXECUTIVE/BUISNESS REPORTING</t>
  </si>
  <si>
    <t>Profit</t>
  </si>
  <si>
    <t>Find which branch spends more</t>
  </si>
  <si>
    <t>Most Expensive Category: Electronics</t>
  </si>
  <si>
    <t>“I created finance reports by calculating revenue, expense, and profit. I also built branch-wise financial summaries and identified profitability trends.”</t>
  </si>
  <si>
    <t>Accounts MIS Executive Finance reporting Executive Billing/Payrole roles</t>
  </si>
  <si>
    <t>TOTAL PROFIT</t>
  </si>
  <si>
    <t>TOTAL FINANCE SUMMARY</t>
  </si>
  <si>
    <t>Sum of Expense</t>
  </si>
  <si>
    <t>PROFIT</t>
  </si>
  <si>
    <t>Sum of PROFIT</t>
  </si>
  <si>
    <t>BRANCH</t>
  </si>
  <si>
    <t>check buissness health</t>
  </si>
  <si>
    <t>Buissness growth is high</t>
  </si>
  <si>
    <t>Business is highly profitable</t>
  </si>
  <si>
    <t>Delhi branch generates highest profit</t>
  </si>
  <si>
    <t>expenses are controlled</t>
  </si>
  <si>
    <t>Electronics category drives revenue</t>
  </si>
  <si>
    <t>FINAL FINANCE REPORT</t>
  </si>
  <si>
    <t>Total Revenue: ₹13,29,500</t>
  </si>
  <si>
    <t>Total Expense: ₹59100</t>
  </si>
  <si>
    <t>Total Profit: ₹1270400</t>
  </si>
  <si>
    <t>OUTPUT</t>
  </si>
  <si>
    <t>&lt;M&gt;?</t>
  </si>
  <si>
    <t>Manager says:</t>
  </si>
  <si>
    <r>
      <t xml:space="preserve"> “I don’t want Excel… give me a </t>
    </r>
    <r>
      <rPr>
        <b/>
        <sz val="11"/>
        <color theme="1"/>
        <rFont val="Calibri"/>
        <family val="2"/>
        <scheme val="minor"/>
      </rPr>
      <t>dashboard to see everything in one screen</t>
    </r>
    <r>
      <rPr>
        <sz val="11"/>
        <color theme="1"/>
        <rFont val="Calibri"/>
        <family val="2"/>
        <scheme val="minor"/>
      </rPr>
      <t>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</si>
</sst>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11" xfId="0" applyNumberFormat="1" applyFont="1" applyFill="1" applyBorder="1"/>
    <xf numFmtId="0" fontId="0" fillId="0" borderId="0" xfId="0" applyAlignment="1">
      <alignment horizontal="left" vertical="center" indent="1"/>
    </xf>
    <xf numFmtId="9" fontId="0" fillId="0" borderId="1" xfId="0" applyNumberForma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5" fillId="0" borderId="0" xfId="0" applyFont="1"/>
    <xf numFmtId="9" fontId="11" fillId="0" borderId="0" xfId="1" applyFont="1"/>
  </cellXfs>
  <cellStyles count="2">
    <cellStyle name="Normal" xfId="0" builtinId="0"/>
    <cellStyle name="Percent" xfId="1" builtinId="5"/>
  </cellStyles>
  <dxfs count="69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182</xdr:row>
          <xdr:rowOff>0</xdr:rowOff>
        </xdr:from>
        <xdr:to>
          <xdr:col>8</xdr:col>
          <xdr:colOff>541020</xdr:colOff>
          <xdr:row>186</xdr:row>
          <xdr:rowOff>175259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C53C5AE1-E590-7920-E585-BED79F7EE0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shree" refreshedDate="46107.688654050929" createdVersion="8" refreshedVersion="8" minRefreshableVersion="3" recordCount="50" xr:uid="{595D75D9-A189-49CF-B67E-3F4B153C1F7E}">
  <cacheSource type="worksheet">
    <worksheetSource name="Table13"/>
  </cacheSource>
  <cacheFields count="13">
    <cacheField name="Order_ID" numFmtId="0">
      <sharedItems containsSemiMixedTypes="0" containsString="0" containsNumber="1" containsInteger="1" minValue="1001" maxValue="1050"/>
    </cacheField>
    <cacheField name="Order_Date" numFmtId="14">
      <sharedItems containsSemiMixedTypes="0" containsNonDate="0" containsDate="1" containsString="0" minDate="2026-01-01T00:00:00" maxDate="2026-01-26T00:00:00"/>
    </cacheField>
    <cacheField name="Region" numFmtId="0">
      <sharedItems count="4">
        <s v="North"/>
        <s v="East"/>
        <s v="West"/>
        <s v="South"/>
      </sharedItems>
    </cacheField>
    <cacheField name="Branch" numFmtId="0">
      <sharedItems count="6">
        <s v="Delhi"/>
        <s v="Kolkata"/>
        <s v="Mumbai"/>
        <s v="Chennai"/>
        <s v="Bangalore"/>
        <s v="Pune"/>
      </sharedItems>
    </cacheField>
    <cacheField name="Customer" numFmtId="0">
      <sharedItems/>
    </cacheField>
    <cacheField name="Product" numFmtId="0">
      <sharedItems count="7">
        <s v="Sofa"/>
        <s v="Table"/>
        <s v="Laptop"/>
        <s v="Mobile"/>
        <s v="TV"/>
        <s v="Chair"/>
        <s v="Headphones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400" maxValue="60000"/>
    </cacheField>
    <cacheField name="Status" numFmtId="0">
      <sharedItems count="3">
        <s v="Cancelled"/>
        <s v="Delivered"/>
        <s v="Pending"/>
      </sharedItems>
    </cacheField>
    <cacheField name="Expense" numFmtId="0">
      <sharedItems containsSemiMixedTypes="0" containsString="0" containsNumber="1" containsInteger="1" minValue="200" maxValue="3000"/>
    </cacheField>
    <cacheField name="Payment_Mode" numFmtId="0">
      <sharedItems/>
    </cacheField>
    <cacheField name="Revenue2" numFmtId="0">
      <sharedItems containsSemiMixedTypes="0" containsString="0" containsNumber="1" containsInteger="1" minValue="32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shree" refreshedDate="46107.688654745369" createdVersion="8" refreshedVersion="8" minRefreshableVersion="3" recordCount="50" xr:uid="{58947586-BC0C-4E68-BA65-06C29F2F9979}">
  <cacheSource type="worksheet">
    <worksheetSource name="Table14[[Order_Date]:[Revenue2]]"/>
  </cacheSource>
  <cacheFields count="12">
    <cacheField name="Order_Date" numFmtId="14">
      <sharedItems containsSemiMixedTypes="0" containsNonDate="0" containsDate="1" containsString="0" minDate="2026-01-01T00:00:00" maxDate="2026-01-26T00:00:00"/>
    </cacheField>
    <cacheField name="Region" numFmtId="0">
      <sharedItems count="4">
        <s v="North"/>
        <s v="East"/>
        <s v="West"/>
        <s v="South"/>
      </sharedItems>
    </cacheField>
    <cacheField name="Branch" numFmtId="0">
      <sharedItems count="6">
        <s v="Delhi"/>
        <s v="Kolkata"/>
        <s v="Mumbai"/>
        <s v="Chennai"/>
        <s v="Bangalore"/>
        <s v="Pune"/>
      </sharedItems>
    </cacheField>
    <cacheField name="Customer" numFmtId="0">
      <sharedItems/>
    </cacheField>
    <cacheField name="Product" numFmtId="0">
      <sharedItems count="7">
        <s v="Sofa"/>
        <s v="Table"/>
        <s v="Laptop"/>
        <s v="Mobile"/>
        <s v="TV"/>
        <s v="Chair"/>
        <s v="Headphones"/>
      </sharedItems>
    </cacheField>
    <cacheField name="Category" numFmtId="0">
      <sharedItems count="2">
        <s v="Furniture"/>
        <s v="Electronics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400" maxValue="60000"/>
    </cacheField>
    <cacheField name="Status" numFmtId="0">
      <sharedItems count="3">
        <s v="Cancelled"/>
        <s v="Delivered"/>
        <s v="Pending"/>
      </sharedItems>
    </cacheField>
    <cacheField name="Expense" numFmtId="0">
      <sharedItems containsSemiMixedTypes="0" containsString="0" containsNumber="1" containsInteger="1" minValue="200" maxValue="3000"/>
    </cacheField>
    <cacheField name="Payment_Mode" numFmtId="0">
      <sharedItems/>
    </cacheField>
    <cacheField name="Revenue2" numFmtId="0">
      <sharedItems containsSemiMixedTypes="0" containsString="0" containsNumber="1" containsInteger="1" minValue="32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shree" refreshedDate="46107.688655324077" createdVersion="8" refreshedVersion="8" minRefreshableVersion="3" recordCount="50" xr:uid="{37FE4AA8-1D47-479F-AB9F-B83E80F31916}">
  <cacheSource type="worksheet">
    <worksheetSource name="Table16"/>
  </cacheSource>
  <cacheFields count="14">
    <cacheField name="Order_ID" numFmtId="0">
      <sharedItems containsSemiMixedTypes="0" containsString="0" containsNumber="1" containsInteger="1" minValue="1001" maxValue="1050"/>
    </cacheField>
    <cacheField name="Order_Date" numFmtId="14">
      <sharedItems containsSemiMixedTypes="0" containsNonDate="0" containsDate="1" containsString="0" minDate="2026-01-01T00:00:00" maxDate="2026-01-26T00:00:00"/>
    </cacheField>
    <cacheField name="Region" numFmtId="0">
      <sharedItems/>
    </cacheField>
    <cacheField name="Branch" numFmtId="0">
      <sharedItems count="6">
        <s v="Chennai"/>
        <s v="Delhi"/>
        <s v="Bangalore"/>
        <s v="Mumbai"/>
        <s v="Kolkata"/>
        <s v="Pune"/>
      </sharedItems>
    </cacheField>
    <cacheField name="Customer" numFmtId="0">
      <sharedItems/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400" maxValue="60000"/>
    </cacheField>
    <cacheField name="Status" numFmtId="0">
      <sharedItems/>
    </cacheField>
    <cacheField name="Expense" numFmtId="0">
      <sharedItems containsSemiMixedTypes="0" containsString="0" containsNumber="1" containsInteger="1" minValue="200" maxValue="3000"/>
    </cacheField>
    <cacheField name="Payment_Mode" numFmtId="0">
      <sharedItems/>
    </cacheField>
    <cacheField name="Revenue2" numFmtId="0">
      <sharedItems containsSemiMixedTypes="0" containsString="0" containsNumber="1" containsInteger="1" minValue="3200" maxValue="60000"/>
    </cacheField>
    <cacheField name="PROFIT" numFmtId="0">
      <sharedItems containsSemiMixedTypes="0" containsString="0" containsNumber="1" containsInteger="1" minValue="3000" maxValue="57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28"/>
    <d v="2026-01-14T00:00:00"/>
    <x v="0"/>
    <x v="0"/>
    <s v="Megha"/>
    <x v="0"/>
    <s v="Furniture"/>
    <n v="1"/>
    <n v="16000"/>
    <x v="0"/>
    <n v="600"/>
    <s v="Card"/>
    <n v="16000"/>
  </r>
  <r>
    <n v="1014"/>
    <d v="2026-01-07T00:00:00"/>
    <x v="1"/>
    <x v="1"/>
    <s v="Divya"/>
    <x v="0"/>
    <s v="Furniture"/>
    <n v="1"/>
    <n v="15000"/>
    <x v="0"/>
    <n v="700"/>
    <s v="UPI"/>
    <n v="15000"/>
  </r>
  <r>
    <n v="1040"/>
    <d v="2026-01-20T00:00:00"/>
    <x v="0"/>
    <x v="0"/>
    <s v="Priya"/>
    <x v="1"/>
    <s v="Furniture"/>
    <n v="1"/>
    <n v="9000"/>
    <x v="0"/>
    <n v="400"/>
    <s v="Card"/>
    <n v="9000"/>
  </r>
  <r>
    <n v="1004"/>
    <d v="2026-01-02T00:00:00"/>
    <x v="2"/>
    <x v="2"/>
    <s v="Meena"/>
    <x v="1"/>
    <s v="Furniture"/>
    <n v="1"/>
    <n v="8000"/>
    <x v="0"/>
    <n v="300"/>
    <s v="Online"/>
    <n v="8000"/>
  </r>
  <r>
    <n v="1016"/>
    <d v="2026-01-08T00:00:00"/>
    <x v="3"/>
    <x v="3"/>
    <s v="Mani"/>
    <x v="2"/>
    <s v="Electronics"/>
    <n v="1"/>
    <n v="60000"/>
    <x v="1"/>
    <n v="3000"/>
    <s v="Online"/>
    <n v="60000"/>
  </r>
  <r>
    <n v="1041"/>
    <d v="2026-01-21T00:00:00"/>
    <x v="3"/>
    <x v="4"/>
    <s v="Arjun"/>
    <x v="2"/>
    <s v="Electronics"/>
    <n v="1"/>
    <n v="56000"/>
    <x v="1"/>
    <n v="2500"/>
    <s v="Online"/>
    <n v="56000"/>
  </r>
  <r>
    <n v="1006"/>
    <d v="2026-01-03T00:00:00"/>
    <x v="3"/>
    <x v="3"/>
    <s v="Kumar"/>
    <x v="2"/>
    <s v="Electronics"/>
    <n v="1"/>
    <n v="55000"/>
    <x v="1"/>
    <n v="2500"/>
    <s v="Online"/>
    <n v="55000"/>
  </r>
  <r>
    <n v="1025"/>
    <d v="2026-01-13T00:00:00"/>
    <x v="3"/>
    <x v="4"/>
    <s v="Harish"/>
    <x v="2"/>
    <s v="Electronics"/>
    <n v="1"/>
    <n v="53000"/>
    <x v="1"/>
    <n v="2100"/>
    <s v="Online"/>
    <n v="53000"/>
  </r>
  <r>
    <n v="1046"/>
    <d v="2026-01-23T00:00:00"/>
    <x v="2"/>
    <x v="2"/>
    <s v="Naveen"/>
    <x v="2"/>
    <s v="Electronics"/>
    <n v="1"/>
    <n v="52000"/>
    <x v="1"/>
    <n v="2200"/>
    <s v="Cash"/>
    <n v="52000"/>
  </r>
  <r>
    <n v="1031"/>
    <d v="2026-01-16T00:00:00"/>
    <x v="1"/>
    <x v="1"/>
    <s v="Ashok"/>
    <x v="2"/>
    <s v="Electronics"/>
    <n v="1"/>
    <n v="51000"/>
    <x v="1"/>
    <n v="2000"/>
    <s v="UPI"/>
    <n v="51000"/>
  </r>
  <r>
    <n v="1001"/>
    <d v="2026-01-01T00:00:00"/>
    <x v="3"/>
    <x v="3"/>
    <s v="Ravi"/>
    <x v="2"/>
    <s v="Electronics"/>
    <n v="1"/>
    <n v="50000"/>
    <x v="1"/>
    <n v="2000"/>
    <s v="Online"/>
    <n v="50000"/>
  </r>
  <r>
    <n v="1029"/>
    <d v="2026-01-15T00:00:00"/>
    <x v="3"/>
    <x v="3"/>
    <s v="Karthik"/>
    <x v="3"/>
    <s v="Electronics"/>
    <n v="2"/>
    <n v="22000"/>
    <x v="1"/>
    <n v="1700"/>
    <s v="Online"/>
    <n v="44000"/>
  </r>
  <r>
    <n v="1013"/>
    <d v="2026-01-07T00:00:00"/>
    <x v="3"/>
    <x v="4"/>
    <s v="Kiran"/>
    <x v="3"/>
    <s v="Electronics"/>
    <n v="2"/>
    <n v="21000"/>
    <x v="1"/>
    <n v="1800"/>
    <s v="Online"/>
    <n v="42000"/>
  </r>
  <r>
    <n v="1039"/>
    <d v="2026-01-20T00:00:00"/>
    <x v="1"/>
    <x v="1"/>
    <s v="Sunil"/>
    <x v="3"/>
    <s v="Electronics"/>
    <n v="2"/>
    <n v="18000"/>
    <x v="1"/>
    <n v="1200"/>
    <s v="UPI"/>
    <n v="36000"/>
  </r>
  <r>
    <n v="1021"/>
    <d v="2026-01-11T00:00:00"/>
    <x v="2"/>
    <x v="2"/>
    <s v="Anil"/>
    <x v="4"/>
    <s v="Electronics"/>
    <n v="1"/>
    <n v="32000"/>
    <x v="1"/>
    <n v="1600"/>
    <s v="Online"/>
    <n v="32000"/>
  </r>
  <r>
    <n v="1037"/>
    <d v="2026-01-19T00:00:00"/>
    <x v="3"/>
    <x v="3"/>
    <s v="Latha"/>
    <x v="4"/>
    <s v="Electronics"/>
    <n v="1"/>
    <n v="30000"/>
    <x v="1"/>
    <n v="1500"/>
    <s v="Online"/>
    <n v="30000"/>
  </r>
  <r>
    <n v="1009"/>
    <d v="2026-01-05T00:00:00"/>
    <x v="3"/>
    <x v="3"/>
    <s v="Deepa"/>
    <x v="4"/>
    <s v="Electronics"/>
    <n v="1"/>
    <n v="30000"/>
    <x v="1"/>
    <n v="1500"/>
    <s v="Online"/>
    <n v="30000"/>
  </r>
  <r>
    <n v="1027"/>
    <d v="2026-01-14T00:00:00"/>
    <x v="1"/>
    <x v="1"/>
    <s v="Rohan"/>
    <x v="4"/>
    <s v="Electronics"/>
    <n v="1"/>
    <n v="29000"/>
    <x v="1"/>
    <n v="1200"/>
    <s v="UPI"/>
    <n v="29000"/>
  </r>
  <r>
    <n v="1043"/>
    <d v="2026-01-22T00:00:00"/>
    <x v="1"/>
    <x v="1"/>
    <s v="Divya"/>
    <x v="4"/>
    <s v="Electronics"/>
    <n v="1"/>
    <n v="28000"/>
    <x v="1"/>
    <n v="1000"/>
    <s v="UPI"/>
    <n v="28000"/>
  </r>
  <r>
    <n v="1034"/>
    <d v="2026-01-17T00:00:00"/>
    <x v="2"/>
    <x v="5"/>
    <s v="Deepak"/>
    <x v="3"/>
    <s v="Electronics"/>
    <n v="1"/>
    <n v="20000"/>
    <x v="1"/>
    <n v="1000"/>
    <s v="Cash"/>
    <n v="20000"/>
  </r>
  <r>
    <n v="1049"/>
    <d v="2026-01-25T00:00:00"/>
    <x v="3"/>
    <x v="4"/>
    <s v="Pooja"/>
    <x v="3"/>
    <s v="Electronics"/>
    <n v="1"/>
    <n v="19000"/>
    <x v="1"/>
    <n v="900"/>
    <s v="Online"/>
    <n v="19000"/>
  </r>
  <r>
    <n v="1018"/>
    <d v="2026-01-09T00:00:00"/>
    <x v="1"/>
    <x v="1"/>
    <s v="Amit"/>
    <x v="3"/>
    <s v="Electronics"/>
    <n v="1"/>
    <n v="17000"/>
    <x v="1"/>
    <n v="900"/>
    <s v="UPI"/>
    <n v="17000"/>
  </r>
  <r>
    <n v="1026"/>
    <d v="2026-01-13T00:00:00"/>
    <x v="2"/>
    <x v="5"/>
    <s v="Nisha"/>
    <x v="1"/>
    <s v="Furniture"/>
    <n v="2"/>
    <n v="8500"/>
    <x v="1"/>
    <n v="800"/>
    <s v="Cash"/>
    <n v="17000"/>
  </r>
  <r>
    <n v="1050"/>
    <d v="2026-01-25T00:00:00"/>
    <x v="2"/>
    <x v="5"/>
    <s v="Ravi"/>
    <x v="0"/>
    <s v="Furniture"/>
    <n v="1"/>
    <n v="15000"/>
    <x v="1"/>
    <n v="800"/>
    <s v="Cash"/>
    <n v="15000"/>
  </r>
  <r>
    <n v="1038"/>
    <d v="2026-01-19T00:00:00"/>
    <x v="2"/>
    <x v="2"/>
    <s v="Rajesh"/>
    <x v="0"/>
    <s v="Furniture"/>
    <n v="1"/>
    <n v="15000"/>
    <x v="1"/>
    <n v="800"/>
    <s v="Cash"/>
    <n v="15000"/>
  </r>
  <r>
    <n v="1010"/>
    <d v="2026-01-05T00:00:00"/>
    <x v="1"/>
    <x v="1"/>
    <s v="Ramesh"/>
    <x v="1"/>
    <s v="Furniture"/>
    <n v="2"/>
    <n v="7000"/>
    <x v="1"/>
    <n v="600"/>
    <s v="UPI"/>
    <n v="14000"/>
  </r>
  <r>
    <n v="1045"/>
    <d v="2026-01-23T00:00:00"/>
    <x v="3"/>
    <x v="3"/>
    <s v="Manoj"/>
    <x v="0"/>
    <s v="Furniture"/>
    <n v="1"/>
    <n v="14000"/>
    <x v="1"/>
    <n v="700"/>
    <s v="Online"/>
    <n v="14000"/>
  </r>
  <r>
    <n v="1022"/>
    <d v="2026-01-11T00:00:00"/>
    <x v="3"/>
    <x v="3"/>
    <s v="Ritu"/>
    <x v="0"/>
    <s v="Furniture"/>
    <n v="1"/>
    <n v="14000"/>
    <x v="1"/>
    <n v="700"/>
    <s v="Cash"/>
    <n v="14000"/>
  </r>
  <r>
    <n v="1033"/>
    <d v="2026-01-17T00:00:00"/>
    <x v="3"/>
    <x v="4"/>
    <s v="Suresh"/>
    <x v="0"/>
    <s v="Furniture"/>
    <n v="1"/>
    <n v="13000"/>
    <x v="1"/>
    <n v="700"/>
    <s v="Online"/>
    <n v="13000"/>
  </r>
  <r>
    <n v="1008"/>
    <d v="2026-01-04T00:00:00"/>
    <x v="2"/>
    <x v="5"/>
    <s v="Vikas"/>
    <x v="0"/>
    <s v="Furniture"/>
    <n v="1"/>
    <n v="12000"/>
    <x v="1"/>
    <n v="800"/>
    <s v="Cash"/>
    <n v="12000"/>
  </r>
  <r>
    <n v="1019"/>
    <d v="2026-01-10T00:00:00"/>
    <x v="3"/>
    <x v="4"/>
    <s v="Pooja"/>
    <x v="1"/>
    <s v="Furniture"/>
    <n v="1"/>
    <n v="9000"/>
    <x v="1"/>
    <n v="400"/>
    <s v="Online"/>
    <n v="9000"/>
  </r>
  <r>
    <n v="1017"/>
    <d v="2026-01-09T00:00:00"/>
    <x v="2"/>
    <x v="5"/>
    <s v="Neha"/>
    <x v="5"/>
    <s v="Furniture"/>
    <n v="5"/>
    <n v="1400"/>
    <x v="1"/>
    <n v="500"/>
    <s v="Cash"/>
    <n v="7000"/>
  </r>
  <r>
    <n v="1005"/>
    <d v="2026-01-03T00:00:00"/>
    <x v="1"/>
    <x v="1"/>
    <s v="Raj"/>
    <x v="6"/>
    <s v="Electronics"/>
    <n v="3"/>
    <n v="2000"/>
    <x v="1"/>
    <n v="200"/>
    <s v="UPI"/>
    <n v="6000"/>
  </r>
  <r>
    <n v="1003"/>
    <d v="2026-01-02T00:00:00"/>
    <x v="3"/>
    <x v="4"/>
    <s v="Arun"/>
    <x v="5"/>
    <s v="Furniture"/>
    <n v="4"/>
    <n v="1500"/>
    <x v="1"/>
    <n v="500"/>
    <s v="Cash"/>
    <n v="6000"/>
  </r>
  <r>
    <n v="1035"/>
    <d v="2026-01-18T00:00:00"/>
    <x v="1"/>
    <x v="1"/>
    <s v="Rekha"/>
    <x v="5"/>
    <s v="Furniture"/>
    <n v="4"/>
    <n v="1400"/>
    <x v="1"/>
    <n v="400"/>
    <s v="UPI"/>
    <n v="5600"/>
  </r>
  <r>
    <n v="1042"/>
    <d v="2026-01-21T00:00:00"/>
    <x v="2"/>
    <x v="5"/>
    <s v="Kiran"/>
    <x v="5"/>
    <s v="Furniture"/>
    <n v="3"/>
    <n v="1500"/>
    <x v="1"/>
    <n v="300"/>
    <s v="Cash"/>
    <n v="4500"/>
  </r>
  <r>
    <n v="1030"/>
    <d v="2026-01-15T00:00:00"/>
    <x v="2"/>
    <x v="2"/>
    <s v="Seema"/>
    <x v="5"/>
    <s v="Furniture"/>
    <n v="3"/>
    <n v="1500"/>
    <x v="1"/>
    <n v="300"/>
    <s v="Cash"/>
    <n v="4500"/>
  </r>
  <r>
    <n v="1012"/>
    <d v="2026-01-06T00:00:00"/>
    <x v="2"/>
    <x v="2"/>
    <s v="Ajay"/>
    <x v="5"/>
    <s v="Furniture"/>
    <n v="3"/>
    <n v="1500"/>
    <x v="1"/>
    <n v="300"/>
    <s v="Cash"/>
    <n v="4500"/>
  </r>
  <r>
    <n v="1047"/>
    <d v="2026-01-24T00:00:00"/>
    <x v="1"/>
    <x v="1"/>
    <s v="Anil"/>
    <x v="5"/>
    <s v="Furniture"/>
    <n v="2"/>
    <n v="1600"/>
    <x v="1"/>
    <n v="200"/>
    <s v="UPI"/>
    <n v="3200"/>
  </r>
  <r>
    <n v="1023"/>
    <d v="2026-01-12T00:00:00"/>
    <x v="1"/>
    <x v="1"/>
    <s v="Kavya"/>
    <x v="5"/>
    <s v="Furniture"/>
    <n v="2"/>
    <n v="1600"/>
    <x v="1"/>
    <n v="200"/>
    <s v="UPI"/>
    <n v="3200"/>
  </r>
  <r>
    <n v="1020"/>
    <d v="2026-01-10T00:00:00"/>
    <x v="0"/>
    <x v="0"/>
    <s v="Varun"/>
    <x v="2"/>
    <s v="Electronics"/>
    <n v="1"/>
    <n v="58000"/>
    <x v="2"/>
    <n v="2500"/>
    <s v="Card"/>
    <n v="58000"/>
  </r>
  <r>
    <n v="1024"/>
    <d v="2026-01-12T00:00:00"/>
    <x v="0"/>
    <x v="0"/>
    <s v="Sanjay"/>
    <x v="3"/>
    <s v="Electronics"/>
    <n v="3"/>
    <n v="19000"/>
    <x v="2"/>
    <n v="1800"/>
    <s v="Card"/>
    <n v="57000"/>
  </r>
  <r>
    <n v="1036"/>
    <d v="2026-01-18T00:00:00"/>
    <x v="0"/>
    <x v="0"/>
    <s v="Mohan"/>
    <x v="2"/>
    <s v="Electronics"/>
    <n v="1"/>
    <n v="54000"/>
    <x v="2"/>
    <n v="2300"/>
    <s v="Card"/>
    <n v="54000"/>
  </r>
  <r>
    <n v="1011"/>
    <d v="2026-01-06T00:00:00"/>
    <x v="0"/>
    <x v="0"/>
    <s v="Sneha"/>
    <x v="2"/>
    <s v="Electronics"/>
    <n v="1"/>
    <n v="52000"/>
    <x v="2"/>
    <n v="2200"/>
    <s v="Card"/>
    <n v="52000"/>
  </r>
  <r>
    <n v="1044"/>
    <d v="2026-01-22T00:00:00"/>
    <x v="0"/>
    <x v="0"/>
    <s v="Rahul"/>
    <x v="3"/>
    <s v="Electronics"/>
    <n v="2"/>
    <n v="21000"/>
    <x v="2"/>
    <n v="1600"/>
    <s v="Card"/>
    <n v="42000"/>
  </r>
  <r>
    <n v="1002"/>
    <d v="2026-01-01T00:00:00"/>
    <x v="0"/>
    <x v="0"/>
    <s v="Priya"/>
    <x v="3"/>
    <s v="Electronics"/>
    <n v="2"/>
    <n v="20000"/>
    <x v="2"/>
    <n v="1500"/>
    <s v="Card"/>
    <n v="40000"/>
  </r>
  <r>
    <n v="1032"/>
    <d v="2026-01-16T00:00:00"/>
    <x v="0"/>
    <x v="0"/>
    <s v="Anita"/>
    <x v="4"/>
    <s v="Electronics"/>
    <n v="1"/>
    <n v="31000"/>
    <x v="2"/>
    <n v="1500"/>
    <s v="Card"/>
    <n v="31000"/>
  </r>
  <r>
    <n v="1048"/>
    <d v="2026-01-24T00:00:00"/>
    <x v="0"/>
    <x v="0"/>
    <s v="Meena"/>
    <x v="4"/>
    <s v="Electronics"/>
    <n v="1"/>
    <n v="30000"/>
    <x v="2"/>
    <n v="1400"/>
    <s v="Card"/>
    <n v="30000"/>
  </r>
  <r>
    <n v="1015"/>
    <d v="2026-01-08T00:00:00"/>
    <x v="0"/>
    <x v="0"/>
    <s v="Rahul"/>
    <x v="4"/>
    <s v="Electronics"/>
    <n v="1"/>
    <n v="28000"/>
    <x v="2"/>
    <n v="1300"/>
    <s v="Card"/>
    <n v="28000"/>
  </r>
  <r>
    <n v="1007"/>
    <d v="2026-01-04T00:00:00"/>
    <x v="0"/>
    <x v="0"/>
    <s v="Anu"/>
    <x v="3"/>
    <s v="Electronics"/>
    <n v="1"/>
    <n v="18000"/>
    <x v="2"/>
    <n v="1200"/>
    <s v="Card"/>
    <n v="1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6-01-14T00:00:00"/>
    <x v="0"/>
    <x v="0"/>
    <s v="Megha"/>
    <x v="0"/>
    <x v="0"/>
    <n v="1"/>
    <n v="16000"/>
    <x v="0"/>
    <n v="600"/>
    <s v="Card"/>
    <n v="16000"/>
  </r>
  <r>
    <d v="2026-01-07T00:00:00"/>
    <x v="1"/>
    <x v="1"/>
    <s v="Divya"/>
    <x v="0"/>
    <x v="0"/>
    <n v="1"/>
    <n v="15000"/>
    <x v="0"/>
    <n v="700"/>
    <s v="UPI"/>
    <n v="15000"/>
  </r>
  <r>
    <d v="2026-01-20T00:00:00"/>
    <x v="0"/>
    <x v="0"/>
    <s v="Priya"/>
    <x v="1"/>
    <x v="0"/>
    <n v="1"/>
    <n v="9000"/>
    <x v="0"/>
    <n v="400"/>
    <s v="Card"/>
    <n v="9000"/>
  </r>
  <r>
    <d v="2026-01-02T00:00:00"/>
    <x v="2"/>
    <x v="2"/>
    <s v="Meena"/>
    <x v="1"/>
    <x v="0"/>
    <n v="1"/>
    <n v="8000"/>
    <x v="0"/>
    <n v="300"/>
    <s v="Online"/>
    <n v="8000"/>
  </r>
  <r>
    <d v="2026-01-08T00:00:00"/>
    <x v="3"/>
    <x v="3"/>
    <s v="Mani"/>
    <x v="2"/>
    <x v="1"/>
    <n v="1"/>
    <n v="60000"/>
    <x v="1"/>
    <n v="3000"/>
    <s v="Online"/>
    <n v="60000"/>
  </r>
  <r>
    <d v="2026-01-21T00:00:00"/>
    <x v="3"/>
    <x v="4"/>
    <s v="Arjun"/>
    <x v="2"/>
    <x v="1"/>
    <n v="1"/>
    <n v="56000"/>
    <x v="1"/>
    <n v="2500"/>
    <s v="Online"/>
    <n v="56000"/>
  </r>
  <r>
    <d v="2026-01-03T00:00:00"/>
    <x v="3"/>
    <x v="3"/>
    <s v="Kumar"/>
    <x v="2"/>
    <x v="1"/>
    <n v="1"/>
    <n v="55000"/>
    <x v="1"/>
    <n v="2500"/>
    <s v="Online"/>
    <n v="55000"/>
  </r>
  <r>
    <d v="2026-01-13T00:00:00"/>
    <x v="3"/>
    <x v="4"/>
    <s v="Harish"/>
    <x v="2"/>
    <x v="1"/>
    <n v="1"/>
    <n v="53000"/>
    <x v="1"/>
    <n v="2100"/>
    <s v="Online"/>
    <n v="53000"/>
  </r>
  <r>
    <d v="2026-01-23T00:00:00"/>
    <x v="2"/>
    <x v="2"/>
    <s v="Naveen"/>
    <x v="2"/>
    <x v="1"/>
    <n v="1"/>
    <n v="52000"/>
    <x v="1"/>
    <n v="2200"/>
    <s v="Cash"/>
    <n v="52000"/>
  </r>
  <r>
    <d v="2026-01-16T00:00:00"/>
    <x v="1"/>
    <x v="1"/>
    <s v="Ashok"/>
    <x v="2"/>
    <x v="1"/>
    <n v="1"/>
    <n v="51000"/>
    <x v="1"/>
    <n v="2000"/>
    <s v="UPI"/>
    <n v="51000"/>
  </r>
  <r>
    <d v="2026-01-01T00:00:00"/>
    <x v="3"/>
    <x v="3"/>
    <s v="Ravi"/>
    <x v="2"/>
    <x v="1"/>
    <n v="1"/>
    <n v="50000"/>
    <x v="1"/>
    <n v="2000"/>
    <s v="Online"/>
    <n v="50000"/>
  </r>
  <r>
    <d v="2026-01-15T00:00:00"/>
    <x v="3"/>
    <x v="3"/>
    <s v="Karthik"/>
    <x v="3"/>
    <x v="1"/>
    <n v="2"/>
    <n v="22000"/>
    <x v="1"/>
    <n v="1700"/>
    <s v="Online"/>
    <n v="44000"/>
  </r>
  <r>
    <d v="2026-01-07T00:00:00"/>
    <x v="3"/>
    <x v="4"/>
    <s v="Kiran"/>
    <x v="3"/>
    <x v="1"/>
    <n v="2"/>
    <n v="21000"/>
    <x v="1"/>
    <n v="1800"/>
    <s v="Online"/>
    <n v="42000"/>
  </r>
  <r>
    <d v="2026-01-20T00:00:00"/>
    <x v="1"/>
    <x v="1"/>
    <s v="Sunil"/>
    <x v="3"/>
    <x v="1"/>
    <n v="2"/>
    <n v="18000"/>
    <x v="1"/>
    <n v="1200"/>
    <s v="UPI"/>
    <n v="36000"/>
  </r>
  <r>
    <d v="2026-01-11T00:00:00"/>
    <x v="2"/>
    <x v="2"/>
    <s v="Anil"/>
    <x v="4"/>
    <x v="1"/>
    <n v="1"/>
    <n v="32000"/>
    <x v="1"/>
    <n v="1600"/>
    <s v="Online"/>
    <n v="32000"/>
  </r>
  <r>
    <d v="2026-01-19T00:00:00"/>
    <x v="3"/>
    <x v="3"/>
    <s v="Latha"/>
    <x v="4"/>
    <x v="1"/>
    <n v="1"/>
    <n v="30000"/>
    <x v="1"/>
    <n v="1500"/>
    <s v="Online"/>
    <n v="30000"/>
  </r>
  <r>
    <d v="2026-01-05T00:00:00"/>
    <x v="3"/>
    <x v="3"/>
    <s v="Deepa"/>
    <x v="4"/>
    <x v="1"/>
    <n v="1"/>
    <n v="30000"/>
    <x v="1"/>
    <n v="1500"/>
    <s v="Online"/>
    <n v="30000"/>
  </r>
  <r>
    <d v="2026-01-14T00:00:00"/>
    <x v="1"/>
    <x v="1"/>
    <s v="Rohan"/>
    <x v="4"/>
    <x v="1"/>
    <n v="1"/>
    <n v="29000"/>
    <x v="1"/>
    <n v="1200"/>
    <s v="UPI"/>
    <n v="29000"/>
  </r>
  <r>
    <d v="2026-01-22T00:00:00"/>
    <x v="1"/>
    <x v="1"/>
    <s v="Divya"/>
    <x v="4"/>
    <x v="1"/>
    <n v="1"/>
    <n v="28000"/>
    <x v="1"/>
    <n v="1000"/>
    <s v="UPI"/>
    <n v="28000"/>
  </r>
  <r>
    <d v="2026-01-17T00:00:00"/>
    <x v="2"/>
    <x v="5"/>
    <s v="Deepak"/>
    <x v="3"/>
    <x v="1"/>
    <n v="1"/>
    <n v="20000"/>
    <x v="1"/>
    <n v="1000"/>
    <s v="Cash"/>
    <n v="20000"/>
  </r>
  <r>
    <d v="2026-01-25T00:00:00"/>
    <x v="3"/>
    <x v="4"/>
    <s v="Pooja"/>
    <x v="3"/>
    <x v="1"/>
    <n v="1"/>
    <n v="19000"/>
    <x v="1"/>
    <n v="900"/>
    <s v="Online"/>
    <n v="19000"/>
  </r>
  <r>
    <d v="2026-01-09T00:00:00"/>
    <x v="1"/>
    <x v="1"/>
    <s v="Amit"/>
    <x v="3"/>
    <x v="1"/>
    <n v="1"/>
    <n v="17000"/>
    <x v="1"/>
    <n v="900"/>
    <s v="UPI"/>
    <n v="17000"/>
  </r>
  <r>
    <d v="2026-01-13T00:00:00"/>
    <x v="2"/>
    <x v="5"/>
    <s v="Nisha"/>
    <x v="1"/>
    <x v="0"/>
    <n v="2"/>
    <n v="8500"/>
    <x v="1"/>
    <n v="800"/>
    <s v="Cash"/>
    <n v="17000"/>
  </r>
  <r>
    <d v="2026-01-25T00:00:00"/>
    <x v="2"/>
    <x v="5"/>
    <s v="Ravi"/>
    <x v="0"/>
    <x v="0"/>
    <n v="1"/>
    <n v="15000"/>
    <x v="1"/>
    <n v="800"/>
    <s v="Cash"/>
    <n v="15000"/>
  </r>
  <r>
    <d v="2026-01-19T00:00:00"/>
    <x v="2"/>
    <x v="2"/>
    <s v="Rajesh"/>
    <x v="0"/>
    <x v="0"/>
    <n v="1"/>
    <n v="15000"/>
    <x v="1"/>
    <n v="800"/>
    <s v="Cash"/>
    <n v="15000"/>
  </r>
  <r>
    <d v="2026-01-05T00:00:00"/>
    <x v="1"/>
    <x v="1"/>
    <s v="Ramesh"/>
    <x v="1"/>
    <x v="0"/>
    <n v="2"/>
    <n v="7000"/>
    <x v="1"/>
    <n v="600"/>
    <s v="UPI"/>
    <n v="14000"/>
  </r>
  <r>
    <d v="2026-01-23T00:00:00"/>
    <x v="3"/>
    <x v="3"/>
    <s v="Manoj"/>
    <x v="0"/>
    <x v="0"/>
    <n v="1"/>
    <n v="14000"/>
    <x v="1"/>
    <n v="700"/>
    <s v="Online"/>
    <n v="14000"/>
  </r>
  <r>
    <d v="2026-01-11T00:00:00"/>
    <x v="3"/>
    <x v="3"/>
    <s v="Ritu"/>
    <x v="0"/>
    <x v="0"/>
    <n v="1"/>
    <n v="14000"/>
    <x v="1"/>
    <n v="700"/>
    <s v="Cash"/>
    <n v="14000"/>
  </r>
  <r>
    <d v="2026-01-17T00:00:00"/>
    <x v="3"/>
    <x v="4"/>
    <s v="Suresh"/>
    <x v="0"/>
    <x v="0"/>
    <n v="1"/>
    <n v="13000"/>
    <x v="1"/>
    <n v="700"/>
    <s v="Online"/>
    <n v="13000"/>
  </r>
  <r>
    <d v="2026-01-04T00:00:00"/>
    <x v="2"/>
    <x v="5"/>
    <s v="Vikas"/>
    <x v="0"/>
    <x v="0"/>
    <n v="1"/>
    <n v="12000"/>
    <x v="1"/>
    <n v="800"/>
    <s v="Cash"/>
    <n v="12000"/>
  </r>
  <r>
    <d v="2026-01-10T00:00:00"/>
    <x v="3"/>
    <x v="4"/>
    <s v="Pooja"/>
    <x v="1"/>
    <x v="0"/>
    <n v="1"/>
    <n v="9000"/>
    <x v="1"/>
    <n v="400"/>
    <s v="Online"/>
    <n v="9000"/>
  </r>
  <r>
    <d v="2026-01-09T00:00:00"/>
    <x v="2"/>
    <x v="5"/>
    <s v="Neha"/>
    <x v="5"/>
    <x v="0"/>
    <n v="5"/>
    <n v="1400"/>
    <x v="1"/>
    <n v="500"/>
    <s v="Cash"/>
    <n v="7000"/>
  </r>
  <r>
    <d v="2026-01-03T00:00:00"/>
    <x v="1"/>
    <x v="1"/>
    <s v="Raj"/>
    <x v="6"/>
    <x v="1"/>
    <n v="3"/>
    <n v="2000"/>
    <x v="1"/>
    <n v="200"/>
    <s v="UPI"/>
    <n v="6000"/>
  </r>
  <r>
    <d v="2026-01-02T00:00:00"/>
    <x v="3"/>
    <x v="4"/>
    <s v="Arun"/>
    <x v="5"/>
    <x v="0"/>
    <n v="4"/>
    <n v="1500"/>
    <x v="1"/>
    <n v="500"/>
    <s v="Cash"/>
    <n v="6000"/>
  </r>
  <r>
    <d v="2026-01-18T00:00:00"/>
    <x v="1"/>
    <x v="1"/>
    <s v="Rekha"/>
    <x v="5"/>
    <x v="0"/>
    <n v="4"/>
    <n v="1400"/>
    <x v="1"/>
    <n v="400"/>
    <s v="UPI"/>
    <n v="5600"/>
  </r>
  <r>
    <d v="2026-01-21T00:00:00"/>
    <x v="2"/>
    <x v="5"/>
    <s v="Kiran"/>
    <x v="5"/>
    <x v="0"/>
    <n v="3"/>
    <n v="1500"/>
    <x v="1"/>
    <n v="300"/>
    <s v="Cash"/>
    <n v="4500"/>
  </r>
  <r>
    <d v="2026-01-15T00:00:00"/>
    <x v="2"/>
    <x v="2"/>
    <s v="Seema"/>
    <x v="5"/>
    <x v="0"/>
    <n v="3"/>
    <n v="1500"/>
    <x v="1"/>
    <n v="300"/>
    <s v="Cash"/>
    <n v="4500"/>
  </r>
  <r>
    <d v="2026-01-06T00:00:00"/>
    <x v="2"/>
    <x v="2"/>
    <s v="Ajay"/>
    <x v="5"/>
    <x v="0"/>
    <n v="3"/>
    <n v="1500"/>
    <x v="1"/>
    <n v="300"/>
    <s v="Cash"/>
    <n v="4500"/>
  </r>
  <r>
    <d v="2026-01-24T00:00:00"/>
    <x v="1"/>
    <x v="1"/>
    <s v="Anil"/>
    <x v="5"/>
    <x v="0"/>
    <n v="2"/>
    <n v="1600"/>
    <x v="1"/>
    <n v="200"/>
    <s v="UPI"/>
    <n v="3200"/>
  </r>
  <r>
    <d v="2026-01-12T00:00:00"/>
    <x v="1"/>
    <x v="1"/>
    <s v="Kavya"/>
    <x v="5"/>
    <x v="0"/>
    <n v="2"/>
    <n v="1600"/>
    <x v="1"/>
    <n v="200"/>
    <s v="UPI"/>
    <n v="3200"/>
  </r>
  <r>
    <d v="2026-01-10T00:00:00"/>
    <x v="0"/>
    <x v="0"/>
    <s v="Varun"/>
    <x v="2"/>
    <x v="1"/>
    <n v="1"/>
    <n v="58000"/>
    <x v="2"/>
    <n v="2500"/>
    <s v="Card"/>
    <n v="58000"/>
  </r>
  <r>
    <d v="2026-01-12T00:00:00"/>
    <x v="0"/>
    <x v="0"/>
    <s v="Sanjay"/>
    <x v="3"/>
    <x v="1"/>
    <n v="3"/>
    <n v="19000"/>
    <x v="2"/>
    <n v="1800"/>
    <s v="Card"/>
    <n v="57000"/>
  </r>
  <r>
    <d v="2026-01-18T00:00:00"/>
    <x v="0"/>
    <x v="0"/>
    <s v="Mohan"/>
    <x v="2"/>
    <x v="1"/>
    <n v="1"/>
    <n v="54000"/>
    <x v="2"/>
    <n v="2300"/>
    <s v="Card"/>
    <n v="54000"/>
  </r>
  <r>
    <d v="2026-01-06T00:00:00"/>
    <x v="0"/>
    <x v="0"/>
    <s v="Sneha"/>
    <x v="2"/>
    <x v="1"/>
    <n v="1"/>
    <n v="52000"/>
    <x v="2"/>
    <n v="2200"/>
    <s v="Card"/>
    <n v="52000"/>
  </r>
  <r>
    <d v="2026-01-22T00:00:00"/>
    <x v="0"/>
    <x v="0"/>
    <s v="Rahul"/>
    <x v="3"/>
    <x v="1"/>
    <n v="2"/>
    <n v="21000"/>
    <x v="2"/>
    <n v="1600"/>
    <s v="Card"/>
    <n v="42000"/>
  </r>
  <r>
    <d v="2026-01-01T00:00:00"/>
    <x v="0"/>
    <x v="0"/>
    <s v="Priya"/>
    <x v="3"/>
    <x v="1"/>
    <n v="2"/>
    <n v="20000"/>
    <x v="2"/>
    <n v="1500"/>
    <s v="Card"/>
    <n v="40000"/>
  </r>
  <r>
    <d v="2026-01-16T00:00:00"/>
    <x v="0"/>
    <x v="0"/>
    <s v="Anita"/>
    <x v="4"/>
    <x v="1"/>
    <n v="1"/>
    <n v="31000"/>
    <x v="2"/>
    <n v="1500"/>
    <s v="Card"/>
    <n v="31000"/>
  </r>
  <r>
    <d v="2026-01-24T00:00:00"/>
    <x v="0"/>
    <x v="0"/>
    <s v="Meena"/>
    <x v="4"/>
    <x v="1"/>
    <n v="1"/>
    <n v="30000"/>
    <x v="2"/>
    <n v="1400"/>
    <s v="Card"/>
    <n v="30000"/>
  </r>
  <r>
    <d v="2026-01-08T00:00:00"/>
    <x v="0"/>
    <x v="0"/>
    <s v="Rahul"/>
    <x v="4"/>
    <x v="1"/>
    <n v="1"/>
    <n v="28000"/>
    <x v="2"/>
    <n v="1300"/>
    <s v="Card"/>
    <n v="28000"/>
  </r>
  <r>
    <d v="2026-01-04T00:00:00"/>
    <x v="0"/>
    <x v="0"/>
    <s v="Anu"/>
    <x v="3"/>
    <x v="1"/>
    <n v="1"/>
    <n v="18000"/>
    <x v="2"/>
    <n v="1200"/>
    <s v="Card"/>
    <n v="18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16"/>
    <d v="2026-01-08T00:00:00"/>
    <s v="South"/>
    <x v="0"/>
    <s v="Mani"/>
    <s v="Laptop"/>
    <s v="Electronics"/>
    <n v="1"/>
    <n v="60000"/>
    <s v="Delivered"/>
    <n v="3000"/>
    <s v="Online"/>
    <n v="60000"/>
    <n v="57000"/>
  </r>
  <r>
    <n v="1020"/>
    <d v="2026-01-10T00:00:00"/>
    <s v="North"/>
    <x v="1"/>
    <s v="Varun"/>
    <s v="Laptop"/>
    <s v="Electronics"/>
    <n v="1"/>
    <n v="58000"/>
    <s v="Pending"/>
    <n v="2500"/>
    <s v="Card"/>
    <n v="58000"/>
    <n v="55500"/>
  </r>
  <r>
    <n v="1024"/>
    <d v="2026-01-12T00:00:00"/>
    <s v="North"/>
    <x v="1"/>
    <s v="Sanjay"/>
    <s v="Mobile"/>
    <s v="Electronics"/>
    <n v="3"/>
    <n v="19000"/>
    <s v="Pending"/>
    <n v="1800"/>
    <s v="Card"/>
    <n v="57000"/>
    <n v="55200"/>
  </r>
  <r>
    <n v="1041"/>
    <d v="2026-01-21T00:00:00"/>
    <s v="South"/>
    <x v="2"/>
    <s v="Arjun"/>
    <s v="Laptop"/>
    <s v="Electronics"/>
    <n v="1"/>
    <n v="56000"/>
    <s v="Delivered"/>
    <n v="2500"/>
    <s v="Online"/>
    <n v="56000"/>
    <n v="53500"/>
  </r>
  <r>
    <n v="1006"/>
    <d v="2026-01-03T00:00:00"/>
    <s v="South"/>
    <x v="0"/>
    <s v="Kumar"/>
    <s v="Laptop"/>
    <s v="Electronics"/>
    <n v="1"/>
    <n v="55000"/>
    <s v="Delivered"/>
    <n v="2500"/>
    <s v="Online"/>
    <n v="55000"/>
    <n v="52500"/>
  </r>
  <r>
    <n v="1036"/>
    <d v="2026-01-18T00:00:00"/>
    <s v="North"/>
    <x v="1"/>
    <s v="Mohan"/>
    <s v="Laptop"/>
    <s v="Electronics"/>
    <n v="1"/>
    <n v="54000"/>
    <s v="Pending"/>
    <n v="2300"/>
    <s v="Card"/>
    <n v="54000"/>
    <n v="51700"/>
  </r>
  <r>
    <n v="1025"/>
    <d v="2026-01-13T00:00:00"/>
    <s v="South"/>
    <x v="2"/>
    <s v="Harish"/>
    <s v="Laptop"/>
    <s v="Electronics"/>
    <n v="1"/>
    <n v="53000"/>
    <s v="Delivered"/>
    <n v="2100"/>
    <s v="Online"/>
    <n v="53000"/>
    <n v="50900"/>
  </r>
  <r>
    <n v="1046"/>
    <d v="2026-01-23T00:00:00"/>
    <s v="West"/>
    <x v="3"/>
    <s v="Naveen"/>
    <s v="Laptop"/>
    <s v="Electronics"/>
    <n v="1"/>
    <n v="52000"/>
    <s v="Delivered"/>
    <n v="2200"/>
    <s v="Cash"/>
    <n v="52000"/>
    <n v="49800"/>
  </r>
  <r>
    <n v="1011"/>
    <d v="2026-01-06T00:00:00"/>
    <s v="North"/>
    <x v="1"/>
    <s v="Sneha"/>
    <s v="Laptop"/>
    <s v="Electronics"/>
    <n v="1"/>
    <n v="52000"/>
    <s v="Pending"/>
    <n v="2200"/>
    <s v="Card"/>
    <n v="52000"/>
    <n v="49800"/>
  </r>
  <r>
    <n v="1031"/>
    <d v="2026-01-16T00:00:00"/>
    <s v="East"/>
    <x v="4"/>
    <s v="Ashok"/>
    <s v="Laptop"/>
    <s v="Electronics"/>
    <n v="1"/>
    <n v="51000"/>
    <s v="Delivered"/>
    <n v="2000"/>
    <s v="UPI"/>
    <n v="51000"/>
    <n v="49000"/>
  </r>
  <r>
    <n v="1001"/>
    <d v="2026-01-01T00:00:00"/>
    <s v="South"/>
    <x v="0"/>
    <s v="Ravi"/>
    <s v="Laptop"/>
    <s v="Electronics"/>
    <n v="1"/>
    <n v="50000"/>
    <s v="Delivered"/>
    <n v="2000"/>
    <s v="Online"/>
    <n v="50000"/>
    <n v="48000"/>
  </r>
  <r>
    <n v="1029"/>
    <d v="2026-01-15T00:00:00"/>
    <s v="South"/>
    <x v="0"/>
    <s v="Karthik"/>
    <s v="Mobile"/>
    <s v="Electronics"/>
    <n v="2"/>
    <n v="22000"/>
    <s v="Delivered"/>
    <n v="1700"/>
    <s v="Online"/>
    <n v="44000"/>
    <n v="42300"/>
  </r>
  <r>
    <n v="1013"/>
    <d v="2026-01-07T00:00:00"/>
    <s v="South"/>
    <x v="2"/>
    <s v="Kiran"/>
    <s v="Mobile"/>
    <s v="Electronics"/>
    <n v="2"/>
    <n v="21000"/>
    <s v="Delivered"/>
    <n v="1800"/>
    <s v="Online"/>
    <n v="42000"/>
    <n v="40200"/>
  </r>
  <r>
    <n v="1044"/>
    <d v="2026-01-22T00:00:00"/>
    <s v="North"/>
    <x v="1"/>
    <s v="Rahul"/>
    <s v="Mobile"/>
    <s v="Electronics"/>
    <n v="2"/>
    <n v="21000"/>
    <s v="Pending"/>
    <n v="1600"/>
    <s v="Card"/>
    <n v="42000"/>
    <n v="40400"/>
  </r>
  <r>
    <n v="1002"/>
    <d v="2026-01-01T00:00:00"/>
    <s v="North"/>
    <x v="1"/>
    <s v="Priya"/>
    <s v="Mobile"/>
    <s v="Electronics"/>
    <n v="2"/>
    <n v="20000"/>
    <s v="Pending"/>
    <n v="1500"/>
    <s v="Card"/>
    <n v="40000"/>
    <n v="38500"/>
  </r>
  <r>
    <n v="1039"/>
    <d v="2026-01-20T00:00:00"/>
    <s v="East"/>
    <x v="4"/>
    <s v="Sunil"/>
    <s v="Mobile"/>
    <s v="Electronics"/>
    <n v="2"/>
    <n v="18000"/>
    <s v="Delivered"/>
    <n v="1200"/>
    <s v="UPI"/>
    <n v="36000"/>
    <n v="34800"/>
  </r>
  <r>
    <n v="1021"/>
    <d v="2026-01-11T00:00:00"/>
    <s v="West"/>
    <x v="3"/>
    <s v="Anil"/>
    <s v="TV"/>
    <s v="Electronics"/>
    <n v="1"/>
    <n v="32000"/>
    <s v="Delivered"/>
    <n v="1600"/>
    <s v="Online"/>
    <n v="32000"/>
    <n v="30400"/>
  </r>
  <r>
    <n v="1032"/>
    <d v="2026-01-16T00:00:00"/>
    <s v="North"/>
    <x v="1"/>
    <s v="Anita"/>
    <s v="TV"/>
    <s v="Electronics"/>
    <n v="1"/>
    <n v="31000"/>
    <s v="Pending"/>
    <n v="1500"/>
    <s v="Card"/>
    <n v="31000"/>
    <n v="29500"/>
  </r>
  <r>
    <n v="1037"/>
    <d v="2026-01-19T00:00:00"/>
    <s v="South"/>
    <x v="0"/>
    <s v="Latha"/>
    <s v="TV"/>
    <s v="Electronics"/>
    <n v="1"/>
    <n v="30000"/>
    <s v="Delivered"/>
    <n v="1500"/>
    <s v="Online"/>
    <n v="30000"/>
    <n v="28500"/>
  </r>
  <r>
    <n v="1009"/>
    <d v="2026-01-05T00:00:00"/>
    <s v="South"/>
    <x v="0"/>
    <s v="Deepa"/>
    <s v="TV"/>
    <s v="Electronics"/>
    <n v="1"/>
    <n v="30000"/>
    <s v="Delivered"/>
    <n v="1500"/>
    <s v="Online"/>
    <n v="30000"/>
    <n v="28500"/>
  </r>
  <r>
    <n v="1048"/>
    <d v="2026-01-24T00:00:00"/>
    <s v="North"/>
    <x v="1"/>
    <s v="Meena"/>
    <s v="TV"/>
    <s v="Electronics"/>
    <n v="1"/>
    <n v="30000"/>
    <s v="Pending"/>
    <n v="1400"/>
    <s v="Card"/>
    <n v="30000"/>
    <n v="28600"/>
  </r>
  <r>
    <n v="1027"/>
    <d v="2026-01-14T00:00:00"/>
    <s v="East"/>
    <x v="4"/>
    <s v="Rohan"/>
    <s v="TV"/>
    <s v="Electronics"/>
    <n v="1"/>
    <n v="29000"/>
    <s v="Delivered"/>
    <n v="1200"/>
    <s v="UPI"/>
    <n v="29000"/>
    <n v="27800"/>
  </r>
  <r>
    <n v="1043"/>
    <d v="2026-01-22T00:00:00"/>
    <s v="East"/>
    <x v="4"/>
    <s v="Divya"/>
    <s v="TV"/>
    <s v="Electronics"/>
    <n v="1"/>
    <n v="28000"/>
    <s v="Delivered"/>
    <n v="1000"/>
    <s v="UPI"/>
    <n v="28000"/>
    <n v="27000"/>
  </r>
  <r>
    <n v="1015"/>
    <d v="2026-01-08T00:00:00"/>
    <s v="North"/>
    <x v="1"/>
    <s v="Rahul"/>
    <s v="TV"/>
    <s v="Electronics"/>
    <n v="1"/>
    <n v="28000"/>
    <s v="Pending"/>
    <n v="1300"/>
    <s v="Card"/>
    <n v="28000"/>
    <n v="26700"/>
  </r>
  <r>
    <n v="1034"/>
    <d v="2026-01-17T00:00:00"/>
    <s v="West"/>
    <x v="5"/>
    <s v="Deepak"/>
    <s v="Mobile"/>
    <s v="Electronics"/>
    <n v="1"/>
    <n v="20000"/>
    <s v="Delivered"/>
    <n v="1000"/>
    <s v="Cash"/>
    <n v="20000"/>
    <n v="19000"/>
  </r>
  <r>
    <n v="1049"/>
    <d v="2026-01-25T00:00:00"/>
    <s v="South"/>
    <x v="2"/>
    <s v="Pooja"/>
    <s v="Mobile"/>
    <s v="Electronics"/>
    <n v="1"/>
    <n v="19000"/>
    <s v="Delivered"/>
    <n v="900"/>
    <s v="Online"/>
    <n v="19000"/>
    <n v="18100"/>
  </r>
  <r>
    <n v="1007"/>
    <d v="2026-01-04T00:00:00"/>
    <s v="North"/>
    <x v="1"/>
    <s v="Anu"/>
    <s v="Mobile"/>
    <s v="Electronics"/>
    <n v="1"/>
    <n v="18000"/>
    <s v="Pending"/>
    <n v="1200"/>
    <s v="Card"/>
    <n v="18000"/>
    <n v="16800"/>
  </r>
  <r>
    <n v="1018"/>
    <d v="2026-01-09T00:00:00"/>
    <s v="East"/>
    <x v="4"/>
    <s v="Amit"/>
    <s v="Mobile"/>
    <s v="Electronics"/>
    <n v="1"/>
    <n v="17000"/>
    <s v="Delivered"/>
    <n v="900"/>
    <s v="UPI"/>
    <n v="17000"/>
    <n v="16100"/>
  </r>
  <r>
    <n v="1026"/>
    <d v="2026-01-13T00:00:00"/>
    <s v="West"/>
    <x v="5"/>
    <s v="Nisha"/>
    <s v="Table"/>
    <s v="Furniture"/>
    <n v="2"/>
    <n v="8500"/>
    <s v="Delivered"/>
    <n v="800"/>
    <s v="Cash"/>
    <n v="17000"/>
    <n v="16200"/>
  </r>
  <r>
    <n v="1028"/>
    <d v="2026-01-14T00:00:00"/>
    <s v="North"/>
    <x v="1"/>
    <s v="Megha"/>
    <s v="Sofa"/>
    <s v="Furniture"/>
    <n v="1"/>
    <n v="16000"/>
    <s v="Cancelled"/>
    <n v="600"/>
    <s v="Card"/>
    <n v="16000"/>
    <n v="15400"/>
  </r>
  <r>
    <n v="1014"/>
    <d v="2026-01-07T00:00:00"/>
    <s v="East"/>
    <x v="4"/>
    <s v="Divya"/>
    <s v="Sofa"/>
    <s v="Furniture"/>
    <n v="1"/>
    <n v="15000"/>
    <s v="Cancelled"/>
    <n v="700"/>
    <s v="UPI"/>
    <n v="15000"/>
    <n v="14300"/>
  </r>
  <r>
    <n v="1050"/>
    <d v="2026-01-25T00:00:00"/>
    <s v="West"/>
    <x v="5"/>
    <s v="Ravi"/>
    <s v="Sofa"/>
    <s v="Furniture"/>
    <n v="1"/>
    <n v="15000"/>
    <s v="Delivered"/>
    <n v="800"/>
    <s v="Cash"/>
    <n v="15000"/>
    <n v="14200"/>
  </r>
  <r>
    <n v="1038"/>
    <d v="2026-01-19T00:00:00"/>
    <s v="West"/>
    <x v="3"/>
    <s v="Rajesh"/>
    <s v="Sofa"/>
    <s v="Furniture"/>
    <n v="1"/>
    <n v="15000"/>
    <s v="Delivered"/>
    <n v="800"/>
    <s v="Cash"/>
    <n v="15000"/>
    <n v="14200"/>
  </r>
  <r>
    <n v="1010"/>
    <d v="2026-01-05T00:00:00"/>
    <s v="East"/>
    <x v="4"/>
    <s v="Ramesh"/>
    <s v="Table"/>
    <s v="Furniture"/>
    <n v="2"/>
    <n v="7000"/>
    <s v="Delivered"/>
    <n v="600"/>
    <s v="UPI"/>
    <n v="14000"/>
    <n v="13400"/>
  </r>
  <r>
    <n v="1045"/>
    <d v="2026-01-23T00:00:00"/>
    <s v="South"/>
    <x v="0"/>
    <s v="Manoj"/>
    <s v="Sofa"/>
    <s v="Furniture"/>
    <n v="1"/>
    <n v="14000"/>
    <s v="Delivered"/>
    <n v="700"/>
    <s v="Online"/>
    <n v="14000"/>
    <n v="13300"/>
  </r>
  <r>
    <n v="1022"/>
    <d v="2026-01-11T00:00:00"/>
    <s v="South"/>
    <x v="0"/>
    <s v="Ritu"/>
    <s v="Sofa"/>
    <s v="Furniture"/>
    <n v="1"/>
    <n v="14000"/>
    <s v="Delivered"/>
    <n v="700"/>
    <s v="Cash"/>
    <n v="14000"/>
    <n v="13300"/>
  </r>
  <r>
    <n v="1033"/>
    <d v="2026-01-17T00:00:00"/>
    <s v="South"/>
    <x v="2"/>
    <s v="Suresh"/>
    <s v="Sofa"/>
    <s v="Furniture"/>
    <n v="1"/>
    <n v="13000"/>
    <s v="Delivered"/>
    <n v="700"/>
    <s v="Online"/>
    <n v="13000"/>
    <n v="12300"/>
  </r>
  <r>
    <n v="1008"/>
    <d v="2026-01-04T00:00:00"/>
    <s v="West"/>
    <x v="5"/>
    <s v="Vikas"/>
    <s v="Sofa"/>
    <s v="Furniture"/>
    <n v="1"/>
    <n v="12000"/>
    <s v="Delivered"/>
    <n v="800"/>
    <s v="Cash"/>
    <n v="12000"/>
    <n v="11200"/>
  </r>
  <r>
    <n v="1040"/>
    <d v="2026-01-20T00:00:00"/>
    <s v="North"/>
    <x v="1"/>
    <s v="Priya"/>
    <s v="Table"/>
    <s v="Furniture"/>
    <n v="1"/>
    <n v="9000"/>
    <s v="Cancelled"/>
    <n v="400"/>
    <s v="Card"/>
    <n v="9000"/>
    <n v="8600"/>
  </r>
  <r>
    <n v="1019"/>
    <d v="2026-01-10T00:00:00"/>
    <s v="South"/>
    <x v="2"/>
    <s v="Pooja"/>
    <s v="Table"/>
    <s v="Furniture"/>
    <n v="1"/>
    <n v="9000"/>
    <s v="Delivered"/>
    <n v="400"/>
    <s v="Online"/>
    <n v="9000"/>
    <n v="8600"/>
  </r>
  <r>
    <n v="1004"/>
    <d v="2026-01-02T00:00:00"/>
    <s v="West"/>
    <x v="3"/>
    <s v="Meena"/>
    <s v="Table"/>
    <s v="Furniture"/>
    <n v="1"/>
    <n v="8000"/>
    <s v="Cancelled"/>
    <n v="300"/>
    <s v="Online"/>
    <n v="8000"/>
    <n v="7700"/>
  </r>
  <r>
    <n v="1017"/>
    <d v="2026-01-09T00:00:00"/>
    <s v="West"/>
    <x v="5"/>
    <s v="Neha"/>
    <s v="Chair"/>
    <s v="Furniture"/>
    <n v="5"/>
    <n v="1400"/>
    <s v="Delivered"/>
    <n v="500"/>
    <s v="Cash"/>
    <n v="7000"/>
    <n v="6500"/>
  </r>
  <r>
    <n v="1005"/>
    <d v="2026-01-03T00:00:00"/>
    <s v="East"/>
    <x v="4"/>
    <s v="Raj"/>
    <s v="Headphones"/>
    <s v="Electronics"/>
    <n v="3"/>
    <n v="2000"/>
    <s v="Delivered"/>
    <n v="200"/>
    <s v="UPI"/>
    <n v="6000"/>
    <n v="5800"/>
  </r>
  <r>
    <n v="1003"/>
    <d v="2026-01-02T00:00:00"/>
    <s v="South"/>
    <x v="2"/>
    <s v="Arun"/>
    <s v="Chair"/>
    <s v="Furniture"/>
    <n v="4"/>
    <n v="1500"/>
    <s v="Delivered"/>
    <n v="500"/>
    <s v="Cash"/>
    <n v="6000"/>
    <n v="5500"/>
  </r>
  <r>
    <n v="1035"/>
    <d v="2026-01-18T00:00:00"/>
    <s v="East"/>
    <x v="4"/>
    <s v="Rekha"/>
    <s v="Chair"/>
    <s v="Furniture"/>
    <n v="4"/>
    <n v="1400"/>
    <s v="Delivered"/>
    <n v="400"/>
    <s v="UPI"/>
    <n v="5600"/>
    <n v="5200"/>
  </r>
  <r>
    <n v="1042"/>
    <d v="2026-01-21T00:00:00"/>
    <s v="West"/>
    <x v="5"/>
    <s v="Kiran"/>
    <s v="Chair"/>
    <s v="Furniture"/>
    <n v="3"/>
    <n v="1500"/>
    <s v="Delivered"/>
    <n v="300"/>
    <s v="Cash"/>
    <n v="4500"/>
    <n v="4200"/>
  </r>
  <r>
    <n v="1030"/>
    <d v="2026-01-15T00:00:00"/>
    <s v="West"/>
    <x v="3"/>
    <s v="Seema"/>
    <s v="Chair"/>
    <s v="Furniture"/>
    <n v="3"/>
    <n v="1500"/>
    <s v="Delivered"/>
    <n v="300"/>
    <s v="Cash"/>
    <n v="4500"/>
    <n v="4200"/>
  </r>
  <r>
    <n v="1012"/>
    <d v="2026-01-06T00:00:00"/>
    <s v="West"/>
    <x v="3"/>
    <s v="Ajay"/>
    <s v="Chair"/>
    <s v="Furniture"/>
    <n v="3"/>
    <n v="1500"/>
    <s v="Delivered"/>
    <n v="300"/>
    <s v="Cash"/>
    <n v="4500"/>
    <n v="4200"/>
  </r>
  <r>
    <n v="1047"/>
    <d v="2026-01-24T00:00:00"/>
    <s v="East"/>
    <x v="4"/>
    <s v="Anil"/>
    <s v="Chair"/>
    <s v="Furniture"/>
    <n v="2"/>
    <n v="1600"/>
    <s v="Delivered"/>
    <n v="200"/>
    <s v="UPI"/>
    <n v="3200"/>
    <n v="3000"/>
  </r>
  <r>
    <n v="1023"/>
    <d v="2026-01-12T00:00:00"/>
    <s v="East"/>
    <x v="4"/>
    <s v="Kavya"/>
    <s v="Chair"/>
    <s v="Furniture"/>
    <n v="2"/>
    <n v="1600"/>
    <s v="Delivered"/>
    <n v="200"/>
    <s v="UPI"/>
    <n v="3200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6F8234-277F-4AA2-9970-E8F1A6D2EF0B}" name="PivotTable3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65:R69" firstHeaderRow="1" firstDataRow="1" firstDataCol="1" rowPageCount="1" colPageCount="1"/>
  <pivotFields count="13">
    <pivotField showAll="0"/>
    <pivotField numFmtId="14" showAll="0"/>
    <pivotField showAll="0"/>
    <pivotField showAll="0"/>
    <pivotField showAll="0"/>
    <pivotField axis="axisRow" showAll="0">
      <items count="8">
        <item x="5"/>
        <item x="6"/>
        <item x="2"/>
        <item x="3"/>
        <item x="0"/>
        <item x="1"/>
        <item x="4"/>
        <item t="default"/>
      </items>
    </pivotField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4">
    <i>
      <x v="2"/>
    </i>
    <i>
      <x v="3"/>
    </i>
    <i>
      <x v="6"/>
    </i>
    <i t="grand">
      <x/>
    </i>
  </rowItems>
  <colItems count="1">
    <i/>
  </colItems>
  <pageFields count="1">
    <pageField fld="9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9617A-B6CB-4AB0-901A-1C678091C49B}" name="PivotTable2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9:R61" firstHeaderRow="1" firstDataRow="1" firstDataCol="1" rowPageCount="1" colPageCount="1"/>
  <pivotFields count="13">
    <pivotField showAll="0"/>
    <pivotField numFmtId="14" showAll="0"/>
    <pivotField showAll="0"/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3"/>
  </rowFields>
  <rowItems count="2">
    <i>
      <x v="2"/>
    </i>
    <i t="grand">
      <x/>
    </i>
  </rowItems>
  <colItems count="1">
    <i/>
  </colItems>
  <pageFields count="1">
    <pageField fld="9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BEFCC-B481-46EC-AEBC-89A1A218B99F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53:S55" firstHeaderRow="1" firstDataRow="1" firstDataCol="1" rowPageCount="1" colPageCount="1"/>
  <pivotFields count="13">
    <pivotField dataField="1" showAll="0"/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2"/>
  </rowFields>
  <rowItems count="2">
    <i>
      <x v="1"/>
    </i>
    <i t="grand">
      <x/>
    </i>
  </rowItems>
  <colItems count="1">
    <i/>
  </colItems>
  <pageFields count="1">
    <pageField fld="9" item="2" hier="-1"/>
  </pageFields>
  <dataFields count="1">
    <dataField name="Count of Order_ID" fld="0" subtotal="count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C1939-30D3-4BC9-9837-4E58A23C23E6}" name="PivotTable10" cacheId="5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us">
  <location ref="O48:P55" firstHeaderRow="1" firstDataRow="1" firstDataCol="1"/>
  <pivotFields count="12">
    <pivotField numFmtId="14" showAll="0"/>
    <pivotField showAll="0"/>
    <pivotField axis="axisRow" showAll="0">
      <items count="7">
        <item x="4"/>
        <item x="3"/>
        <item x="0"/>
        <item x="1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2ABC8-9CF6-4519-83AC-F7D51658FA13}" name="PivotTable9" cacheId="5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tatus">
  <location ref="O41:P45" firstHeaderRow="1" firstDataRow="1" firstDataCol="1"/>
  <pivotFields count="12"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venue2" fld="1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5DF3A6-5D85-4B62-B6CC-97531848EC12}" name="PivotTable8" cacheId="5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O31:P39" firstHeaderRow="1" firstDataRow="1" firstDataCol="1"/>
  <pivotFields count="12">
    <pivotField numFmtId="14" showAll="0"/>
    <pivotField showAll="0"/>
    <pivotField showAll="0"/>
    <pivotField showAll="0"/>
    <pivotField axis="axisRow" showAll="0">
      <items count="8">
        <item x="5"/>
        <item x="6"/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51D11A-E19F-4198-A027-E7AA01826EBD}" name="PivotTable7" cacheId="5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ategory">
  <location ref="O23:P26" firstHeaderRow="1" firstDataRow="1" firstDataCol="1"/>
  <pivotFields count="12"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Revenue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CBA4E-72BC-446D-91B2-8D2A5ADA3891}" name="PivotTable6" cacheId="5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O13:P18" firstHeaderRow="1" firstDataRow="1" firstDataCol="1"/>
  <pivotFields count="12"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2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E671B-0CBF-4DF2-A9C6-8B38DD1121B7}" name="PivotTable13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Q27:R34" firstHeaderRow="1" firstDataRow="1" firstDataCol="1"/>
  <pivotFields count="14">
    <pivotField showAll="0"/>
    <pivotField numFmtId="14"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xpens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5FDA2-254D-424F-8920-A4EA83933EA5}" name="PivotTable11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ranch">
  <location ref="O17:R24" firstHeaderRow="0" firstDataRow="1" firstDataCol="1"/>
  <pivotFields count="14">
    <pivotField showAll="0"/>
    <pivotField numFmtId="14" showAll="0"/>
    <pivotField showAll="0"/>
    <pivotField axis="axisRow" showAll="0">
      <items count="7">
        <item x="2"/>
        <item x="0"/>
        <item x="1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2" fld="12" baseField="0" baseItem="0"/>
    <dataField name="Sum of Expense" fld="10" baseField="0" baseItem="0"/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14F194-176C-4D30-B38A-EBDA796F556A}" name="Table1" displayName="Table1" ref="A1:M51" totalsRowShown="0" headerRowDxfId="53" headerRowBorderDxfId="67" tableBorderDxfId="68" totalsRowBorderDxfId="66">
  <autoFilter ref="A1:M51" xr:uid="{B314F194-176C-4D30-B38A-EBDA796F556A}"/>
  <sortState xmlns:xlrd2="http://schemas.microsoft.com/office/spreadsheetml/2017/richdata2" ref="A2:M51">
    <sortCondition ref="J2:J51" customList="Delivered Pending Cancelled"/>
  </sortState>
  <tableColumns count="13">
    <tableColumn id="1" xr3:uid="{93CFBD8A-F680-4940-8B73-056408DD1C8F}" name="Order_ID" dataDxfId="65"/>
    <tableColumn id="2" xr3:uid="{1A6BEC1C-2B14-4FD0-A9AC-6560D4843DF0}" name="Order_Date" dataDxfId="64"/>
    <tableColumn id="3" xr3:uid="{47BA8288-3E0C-4625-9815-BA7DA3851457}" name="Region" dataDxfId="63"/>
    <tableColumn id="4" xr3:uid="{6F8B333C-42BC-4288-8C78-AFC02E39FBE1}" name="Branch" dataDxfId="62"/>
    <tableColumn id="5" xr3:uid="{F4B14417-5BF9-413B-9DC8-53237BCD37F2}" name="Customer" dataDxfId="61"/>
    <tableColumn id="6" xr3:uid="{65D67F17-2294-4229-9D51-BCE2083E410D}" name="Product" dataDxfId="60"/>
    <tableColumn id="7" xr3:uid="{25658B50-86C1-42A3-9AA3-EBB474324655}" name="Category" dataDxfId="59"/>
    <tableColumn id="8" xr3:uid="{6242190A-FA43-4565-BC3E-5AE069494A6A}" name="Quantity" dataDxfId="58"/>
    <tableColumn id="9" xr3:uid="{79938B41-71CE-4E26-97A6-01EC02B81332}" name="Unit_Price" dataDxfId="57"/>
    <tableColumn id="11" xr3:uid="{7AFBF4B7-BD25-482C-8010-3EAC7985CCEB}" name="Status" dataDxfId="56"/>
    <tableColumn id="12" xr3:uid="{3C4D08A9-733D-4B22-8E25-CE1EAD72D8A9}" name="Expense" dataDxfId="55"/>
    <tableColumn id="13" xr3:uid="{1D4AC614-9A75-4C0E-A8CE-EEA8AD0C36FF}" name="Payment_Mode" dataDxfId="54"/>
    <tableColumn id="14" xr3:uid="{B4A20AB7-3BEC-439C-A1A8-C86A7232BD0B}" name="Revenue2" dataDxfId="52">
      <calculatedColumnFormula>Table1[[#This Row],[Quantity]]*Table1[[#This Row],[Unit_Price]]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69DB3A-830F-49AF-9F3A-C1B1AAD2581A}" name="Table13" displayName="Table13" ref="A7:M57" totalsRowShown="0" headerRowDxfId="51" headerRowBorderDxfId="49" tableBorderDxfId="50" totalsRowBorderDxfId="48">
  <autoFilter ref="A7:M57" xr:uid="{3B69DB3A-830F-49AF-9F3A-C1B1AAD2581A}">
    <filterColumn colId="9">
      <filters>
        <filter val="Pending"/>
      </filters>
    </filterColumn>
  </autoFilter>
  <sortState xmlns:xlrd2="http://schemas.microsoft.com/office/spreadsheetml/2017/richdata2" ref="A48:M57">
    <sortCondition descending="1" ref="M7:M57"/>
  </sortState>
  <tableColumns count="13">
    <tableColumn id="1" xr3:uid="{BC0D400D-36C9-4CE5-BFA7-AB8FBE57F345}" name="Order_ID" dataDxfId="47"/>
    <tableColumn id="2" xr3:uid="{B138BA72-95AE-42ED-8CC2-D79EEECBBA60}" name="Order_Date" dataDxfId="46"/>
    <tableColumn id="3" xr3:uid="{7337730F-C71A-4F2B-96EA-F97A374AE332}" name="Region" dataDxfId="45"/>
    <tableColumn id="4" xr3:uid="{AD276119-72E2-4F6D-9157-6E8F63D21B43}" name="Branch" dataDxfId="44"/>
    <tableColumn id="5" xr3:uid="{462A97EB-9DCF-4C62-93E0-59F080EE9EF9}" name="Customer" dataDxfId="43"/>
    <tableColumn id="6" xr3:uid="{F1F3453B-B26D-4A69-8D78-A5B2FCD86C4B}" name="Product" dataDxfId="42"/>
    <tableColumn id="7" xr3:uid="{2FB01530-6908-4B0B-A78A-E46D3964888F}" name="Category" dataDxfId="41"/>
    <tableColumn id="8" xr3:uid="{24462B66-B130-42DF-92A9-B1A17296429F}" name="Quantity" dataDxfId="40"/>
    <tableColumn id="9" xr3:uid="{49A3BD2E-EE42-45E7-AA36-8F1842C55F1D}" name="Unit_Price" dataDxfId="39"/>
    <tableColumn id="11" xr3:uid="{BD6770EB-39CC-4303-A609-AAF28976408A}" name="Status" dataDxfId="38"/>
    <tableColumn id="12" xr3:uid="{97E88D24-8AEF-4C8B-89AC-4CA415C0BE35}" name="Expense" dataDxfId="37"/>
    <tableColumn id="13" xr3:uid="{B345A809-981F-447A-9471-012F682A5B86}" name="Payment_Mode" dataDxfId="36"/>
    <tableColumn id="14" xr3:uid="{313C5B88-6DA0-4A6D-921C-67A1B87E45B3}" name="Revenue2" dataDxfId="35">
      <calculatedColumnFormula>Table13[[#This Row],[Quantity]]*Table13[[#This Row],[Unit_Price]]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184517-D5AA-44F1-A2A6-54AC9DAB0427}" name="Table14" displayName="Table14" ref="A6:M56" totalsRowShown="0" headerRowDxfId="34" headerRowBorderDxfId="32" tableBorderDxfId="33" totalsRowBorderDxfId="31">
  <autoFilter ref="A6:M56" xr:uid="{81184517-D5AA-44F1-A2A6-54AC9DAB0427}"/>
  <sortState xmlns:xlrd2="http://schemas.microsoft.com/office/spreadsheetml/2017/richdata2" ref="A7:M56">
    <sortCondition ref="J2:J51" customList="Delivered Pending Cancelled"/>
  </sortState>
  <tableColumns count="13">
    <tableColumn id="1" xr3:uid="{753E31C5-3478-4F63-9DF7-01898172C0E8}" name="Order_ID" dataDxfId="30"/>
    <tableColumn id="2" xr3:uid="{368AB562-9558-4274-B4F3-B1AF96A12EB1}" name="Order_Date" dataDxfId="29"/>
    <tableColumn id="3" xr3:uid="{25C4E705-8D3B-4760-8C6E-DA946F715D3E}" name="Region" dataDxfId="28"/>
    <tableColumn id="4" xr3:uid="{9CAE7305-6905-489F-97B7-95A0FB787E73}" name="Branch" dataDxfId="27"/>
    <tableColumn id="5" xr3:uid="{A453972E-5E53-48F2-BF30-5C811B21C5D9}" name="Customer" dataDxfId="26"/>
    <tableColumn id="6" xr3:uid="{072E09FF-5B6A-4E39-B94C-BCEA3D90DA2C}" name="Product" dataDxfId="25"/>
    <tableColumn id="7" xr3:uid="{1B435F03-B521-4C7F-896D-741DBC6ACD99}" name="Category" dataDxfId="24"/>
    <tableColumn id="8" xr3:uid="{9042CF0C-8900-4157-AC06-1DFBE9731521}" name="Quantity" dataDxfId="23"/>
    <tableColumn id="9" xr3:uid="{A32D6C1E-9187-439B-85D8-EA0475D7D209}" name="Unit_Price" dataDxfId="22"/>
    <tableColumn id="11" xr3:uid="{EC3E2615-B827-490D-87A9-E2A764C27797}" name="Status" dataDxfId="21"/>
    <tableColumn id="12" xr3:uid="{FA69B5D6-E564-484F-92E6-87BB06F3A63D}" name="Expense" dataDxfId="20"/>
    <tableColumn id="13" xr3:uid="{5FD13669-6E1B-4DE3-9B66-371C7F6989C7}" name="Payment_Mode" dataDxfId="19"/>
    <tableColumn id="14" xr3:uid="{F3EBF401-8E42-4C0D-B1A0-29BC70CB7B02}" name="Revenue2" dataDxfId="18">
      <calculatedColumnFormula>Table14[[#This Row],[Quantity]]*Table14[[#This Row],[Unit_Price]]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FFA19E-5BF0-4AC2-A581-A90853270F8C}" name="Table16" displayName="Table16" ref="A6:N56" totalsRowShown="0" headerRowDxfId="17" headerRowBorderDxfId="15" tableBorderDxfId="16" totalsRowBorderDxfId="14">
  <autoFilter ref="A6:N56" xr:uid="{73FFA19E-5BF0-4AC2-A581-A90853270F8C}"/>
  <sortState xmlns:xlrd2="http://schemas.microsoft.com/office/spreadsheetml/2017/richdata2" ref="A7:N56">
    <sortCondition descending="1" ref="M6:M56"/>
  </sortState>
  <tableColumns count="14">
    <tableColumn id="1" xr3:uid="{A16ABBD3-E114-4DDC-AEDD-A16A9CE46AE3}" name="Order_ID" dataDxfId="13"/>
    <tableColumn id="2" xr3:uid="{89AA2EDF-BE59-4C08-A8AA-4F57D608C2EE}" name="Order_Date" dataDxfId="12"/>
    <tableColumn id="3" xr3:uid="{233D1DC8-3A79-4F7B-A829-F33D6A4DFE59}" name="Region" dataDxfId="11"/>
    <tableColumn id="4" xr3:uid="{DFAF6E5A-C7B9-450D-A188-026FBE2E1F1E}" name="Branch" dataDxfId="10"/>
    <tableColumn id="5" xr3:uid="{98878493-515B-4C0E-BFA7-C7FBB2A371FA}" name="Customer" dataDxfId="9"/>
    <tableColumn id="6" xr3:uid="{2C91CE0D-7A2A-4129-88A7-1C83B8D91547}" name="Product" dataDxfId="8"/>
    <tableColumn id="7" xr3:uid="{4E500880-41A8-4135-A41B-075361321E0C}" name="Category" dataDxfId="7"/>
    <tableColumn id="8" xr3:uid="{DDB33196-3757-46E0-8998-48C69B963E35}" name="Quantity" dataDxfId="6"/>
    <tableColumn id="9" xr3:uid="{E6E36AD1-EDC6-4D09-B0B5-0BE9019D6AA5}" name="Unit_Price" dataDxfId="5"/>
    <tableColumn id="11" xr3:uid="{4EEC4CF4-C6D1-4E88-B1AC-C9F46CA944CF}" name="Status" dataDxfId="4"/>
    <tableColumn id="12" xr3:uid="{1AE5C9B4-AD90-43BE-8757-0D8255359963}" name="Expense" dataDxfId="3"/>
    <tableColumn id="13" xr3:uid="{41900788-CBA1-4CF3-88BC-C48AD09C4562}" name="Payment_Mode" dataDxfId="2"/>
    <tableColumn id="14" xr3:uid="{4C8A4212-0BBB-4737-89D5-592BBE2FFE38}" name="Revenue2" dataDxfId="1">
      <calculatedColumnFormula>Table16[[#This Row],[Quantity]]*Table16[[#This Row],[Unit_Price]]</calculatedColumnFormula>
    </tableColumn>
    <tableColumn id="15" xr3:uid="{21D338AC-C7F6-43B2-8BE2-348AA243BF28}" name="PROFIT" dataDxfId="0">
      <calculatedColumnFormula>Table16[[#This Row],[Revenue2]]-Table16[[#This Row],[Expense]]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3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AFC8-1A6D-43B8-B3BB-F22F42AB7737}">
  <dimension ref="A1:Q51"/>
  <sheetViews>
    <sheetView workbookViewId="0">
      <selection activeCell="O16" sqref="O16"/>
    </sheetView>
  </sheetViews>
  <sheetFormatPr defaultRowHeight="14.4"/>
  <cols>
    <col min="1" max="1" width="13.21875" customWidth="1"/>
    <col min="2" max="2" width="12.5546875" customWidth="1"/>
    <col min="5" max="5" width="11" customWidth="1"/>
    <col min="6" max="6" width="9.5546875" customWidth="1"/>
    <col min="7" max="7" width="13.44140625" customWidth="1"/>
    <col min="8" max="8" width="10.21875" customWidth="1"/>
    <col min="9" max="9" width="11.5546875" customWidth="1"/>
    <col min="11" max="11" width="9.77734375" customWidth="1"/>
    <col min="12" max="12" width="16.44140625" customWidth="1"/>
    <col min="13" max="13" width="11.33203125" customWidth="1"/>
    <col min="14" max="14" width="7" customWidth="1"/>
    <col min="15" max="15" width="19.6640625" bestFit="1" customWidth="1"/>
    <col min="16" max="16" width="22.109375" customWidth="1"/>
  </cols>
  <sheetData>
    <row r="1" spans="1:17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9" t="s">
        <v>12</v>
      </c>
      <c r="M1" s="8" t="s">
        <v>81</v>
      </c>
    </row>
    <row r="2" spans="1:17">
      <c r="A2" s="5">
        <v>1028</v>
      </c>
      <c r="B2" s="4">
        <v>46036</v>
      </c>
      <c r="C2" s="3" t="s">
        <v>20</v>
      </c>
      <c r="D2" s="3" t="s">
        <v>21</v>
      </c>
      <c r="E2" s="3" t="s">
        <v>66</v>
      </c>
      <c r="F2" s="3" t="s">
        <v>45</v>
      </c>
      <c r="G2" s="3" t="s">
        <v>29</v>
      </c>
      <c r="H2" s="3">
        <v>1</v>
      </c>
      <c r="I2" s="3">
        <v>16000</v>
      </c>
      <c r="J2" s="3" t="s">
        <v>35</v>
      </c>
      <c r="K2" s="3">
        <v>600</v>
      </c>
      <c r="L2" s="6" t="s">
        <v>25</v>
      </c>
      <c r="M2" s="19">
        <f>Table1[[#This Row],[Quantity]]*Table1[[#This Row],[Unit_Price]]</f>
        <v>16000</v>
      </c>
    </row>
    <row r="3" spans="1:17">
      <c r="A3" s="5">
        <v>1014</v>
      </c>
      <c r="B3" s="4">
        <v>46029</v>
      </c>
      <c r="C3" s="3" t="s">
        <v>36</v>
      </c>
      <c r="D3" s="3" t="s">
        <v>37</v>
      </c>
      <c r="E3" s="3" t="s">
        <v>52</v>
      </c>
      <c r="F3" s="3" t="s">
        <v>45</v>
      </c>
      <c r="G3" s="3" t="s">
        <v>29</v>
      </c>
      <c r="H3" s="3">
        <v>1</v>
      </c>
      <c r="I3" s="3">
        <v>15000</v>
      </c>
      <c r="J3" s="3" t="s">
        <v>35</v>
      </c>
      <c r="K3" s="3">
        <v>700</v>
      </c>
      <c r="L3" s="6" t="s">
        <v>40</v>
      </c>
      <c r="M3" s="3">
        <f>Table1[[#This Row],[Quantity]]*Table1[[#This Row],[Unit_Price]]</f>
        <v>15000</v>
      </c>
      <c r="O3" s="18" t="s">
        <v>92</v>
      </c>
      <c r="P3" s="18"/>
    </row>
    <row r="4" spans="1:17">
      <c r="A4" s="5">
        <v>1040</v>
      </c>
      <c r="B4" s="4">
        <v>46042</v>
      </c>
      <c r="C4" s="3" t="s">
        <v>20</v>
      </c>
      <c r="D4" s="3" t="s">
        <v>21</v>
      </c>
      <c r="E4" s="3" t="s">
        <v>22</v>
      </c>
      <c r="F4" s="3" t="s">
        <v>34</v>
      </c>
      <c r="G4" s="3" t="s">
        <v>29</v>
      </c>
      <c r="H4" s="3">
        <v>1</v>
      </c>
      <c r="I4" s="3">
        <v>9000</v>
      </c>
      <c r="J4" s="3" t="s">
        <v>35</v>
      </c>
      <c r="K4" s="3">
        <v>400</v>
      </c>
      <c r="L4" s="6" t="s">
        <v>25</v>
      </c>
      <c r="M4" s="3">
        <f>Table1[[#This Row],[Quantity]]*Table1[[#This Row],[Unit_Price]]</f>
        <v>9000</v>
      </c>
      <c r="O4">
        <f>COUNTBLANK(A2:M51)</f>
        <v>0</v>
      </c>
      <c r="P4" t="s">
        <v>82</v>
      </c>
    </row>
    <row r="5" spans="1:17">
      <c r="A5" s="5">
        <v>1004</v>
      </c>
      <c r="B5" s="4">
        <v>46024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29</v>
      </c>
      <c r="H5" s="3">
        <v>1</v>
      </c>
      <c r="I5" s="3">
        <v>8000</v>
      </c>
      <c r="J5" s="3" t="s">
        <v>35</v>
      </c>
      <c r="K5" s="3">
        <v>300</v>
      </c>
      <c r="L5" s="6" t="s">
        <v>19</v>
      </c>
      <c r="M5" s="3">
        <f>Table1[[#This Row],[Quantity]]*Table1[[#This Row],[Unit_Price]]</f>
        <v>8000</v>
      </c>
      <c r="O5" t="s">
        <v>84</v>
      </c>
      <c r="P5" t="s">
        <v>83</v>
      </c>
    </row>
    <row r="6" spans="1:17">
      <c r="A6" s="5">
        <v>1016</v>
      </c>
      <c r="B6" s="4">
        <v>46030</v>
      </c>
      <c r="C6" s="3" t="s">
        <v>13</v>
      </c>
      <c r="D6" s="3" t="s">
        <v>14</v>
      </c>
      <c r="E6" s="3" t="s">
        <v>54</v>
      </c>
      <c r="F6" s="3" t="s">
        <v>16</v>
      </c>
      <c r="G6" s="3" t="s">
        <v>17</v>
      </c>
      <c r="H6" s="3">
        <v>1</v>
      </c>
      <c r="I6" s="3">
        <v>60000</v>
      </c>
      <c r="J6" s="3" t="s">
        <v>18</v>
      </c>
      <c r="K6" s="3">
        <v>3000</v>
      </c>
      <c r="L6" s="6" t="s">
        <v>19</v>
      </c>
      <c r="M6" s="3">
        <f>Table1[[#This Row],[Quantity]]*Table1[[#This Row],[Unit_Price]]</f>
        <v>60000</v>
      </c>
      <c r="O6" t="s">
        <v>85</v>
      </c>
      <c r="P6" t="s">
        <v>9</v>
      </c>
      <c r="Q6" t="s">
        <v>86</v>
      </c>
    </row>
    <row r="7" spans="1:17">
      <c r="A7" s="5">
        <v>1041</v>
      </c>
      <c r="B7" s="4">
        <v>46043</v>
      </c>
      <c r="C7" s="3" t="s">
        <v>13</v>
      </c>
      <c r="D7" s="3" t="s">
        <v>26</v>
      </c>
      <c r="E7" s="3" t="s">
        <v>78</v>
      </c>
      <c r="F7" s="3" t="s">
        <v>16</v>
      </c>
      <c r="G7" s="3" t="s">
        <v>17</v>
      </c>
      <c r="H7" s="3">
        <v>1</v>
      </c>
      <c r="I7" s="3">
        <v>56000</v>
      </c>
      <c r="J7" s="3" t="s">
        <v>18</v>
      </c>
      <c r="K7" s="3">
        <v>2500</v>
      </c>
      <c r="L7" s="6" t="s">
        <v>19</v>
      </c>
      <c r="M7" s="3">
        <f>Table1[[#This Row],[Quantity]]*Table1[[#This Row],[Unit_Price]]</f>
        <v>56000</v>
      </c>
      <c r="O7" t="s">
        <v>87</v>
      </c>
      <c r="P7" t="s">
        <v>88</v>
      </c>
    </row>
    <row r="8" spans="1:17">
      <c r="A8" s="5">
        <v>1006</v>
      </c>
      <c r="B8" s="4">
        <v>46025</v>
      </c>
      <c r="C8" s="3" t="s">
        <v>13</v>
      </c>
      <c r="D8" s="3" t="s">
        <v>14</v>
      </c>
      <c r="E8" s="3" t="s">
        <v>41</v>
      </c>
      <c r="F8" s="3" t="s">
        <v>16</v>
      </c>
      <c r="G8" s="3" t="s">
        <v>17</v>
      </c>
      <c r="H8" s="3">
        <v>1</v>
      </c>
      <c r="I8" s="3">
        <v>55000</v>
      </c>
      <c r="J8" s="3" t="s">
        <v>18</v>
      </c>
      <c r="K8" s="3">
        <v>2500</v>
      </c>
      <c r="L8" s="6" t="s">
        <v>19</v>
      </c>
      <c r="M8" s="3">
        <f>Table1[[#This Row],[Quantity]]*Table1[[#This Row],[Unit_Price]]</f>
        <v>55000</v>
      </c>
      <c r="P8" t="s">
        <v>89</v>
      </c>
    </row>
    <row r="9" spans="1:17">
      <c r="A9" s="5">
        <v>1025</v>
      </c>
      <c r="B9" s="4">
        <v>46035</v>
      </c>
      <c r="C9" s="3" t="s">
        <v>13</v>
      </c>
      <c r="D9" s="3" t="s">
        <v>26</v>
      </c>
      <c r="E9" s="3" t="s">
        <v>63</v>
      </c>
      <c r="F9" s="3" t="s">
        <v>16</v>
      </c>
      <c r="G9" s="3" t="s">
        <v>17</v>
      </c>
      <c r="H9" s="3">
        <v>1</v>
      </c>
      <c r="I9" s="3">
        <v>53000</v>
      </c>
      <c r="J9" s="3" t="s">
        <v>18</v>
      </c>
      <c r="K9" s="3">
        <v>2100</v>
      </c>
      <c r="L9" s="6" t="s">
        <v>19</v>
      </c>
      <c r="M9" s="3">
        <f>Table1[[#This Row],[Quantity]]*Table1[[#This Row],[Unit_Price]]</f>
        <v>53000</v>
      </c>
      <c r="P9" t="s">
        <v>90</v>
      </c>
    </row>
    <row r="10" spans="1:17">
      <c r="A10" s="5">
        <v>1046</v>
      </c>
      <c r="B10" s="4">
        <v>46045</v>
      </c>
      <c r="C10" s="3" t="s">
        <v>31</v>
      </c>
      <c r="D10" s="3" t="s">
        <v>32</v>
      </c>
      <c r="E10" s="3" t="s">
        <v>80</v>
      </c>
      <c r="F10" s="3" t="s">
        <v>16</v>
      </c>
      <c r="G10" s="3" t="s">
        <v>17</v>
      </c>
      <c r="H10" s="3">
        <v>1</v>
      </c>
      <c r="I10" s="3">
        <v>52000</v>
      </c>
      <c r="J10" s="3" t="s">
        <v>18</v>
      </c>
      <c r="K10" s="3">
        <v>2200</v>
      </c>
      <c r="L10" s="6" t="s">
        <v>30</v>
      </c>
      <c r="M10" s="3">
        <f>Table1[[#This Row],[Quantity]]*Table1[[#This Row],[Unit_Price]]</f>
        <v>52000</v>
      </c>
    </row>
    <row r="11" spans="1:17">
      <c r="A11" s="5">
        <v>1031</v>
      </c>
      <c r="B11" s="4">
        <v>46038</v>
      </c>
      <c r="C11" s="3" t="s">
        <v>36</v>
      </c>
      <c r="D11" s="3" t="s">
        <v>37</v>
      </c>
      <c r="E11" s="3" t="s">
        <v>69</v>
      </c>
      <c r="F11" s="3" t="s">
        <v>16</v>
      </c>
      <c r="G11" s="3" t="s">
        <v>17</v>
      </c>
      <c r="H11" s="3">
        <v>1</v>
      </c>
      <c r="I11" s="3">
        <v>51000</v>
      </c>
      <c r="J11" s="3" t="s">
        <v>18</v>
      </c>
      <c r="K11" s="3">
        <v>2000</v>
      </c>
      <c r="L11" s="6" t="s">
        <v>40</v>
      </c>
      <c r="M11" s="3">
        <f>Table1[[#This Row],[Quantity]]*Table1[[#This Row],[Unit_Price]]</f>
        <v>51000</v>
      </c>
    </row>
    <row r="12" spans="1:17">
      <c r="A12" s="5">
        <v>1001</v>
      </c>
      <c r="B12" s="4">
        <v>46023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>
        <v>1</v>
      </c>
      <c r="I12" s="3">
        <v>50000</v>
      </c>
      <c r="J12" s="3" t="s">
        <v>18</v>
      </c>
      <c r="K12" s="3">
        <v>2000</v>
      </c>
      <c r="L12" s="6" t="s">
        <v>19</v>
      </c>
      <c r="M12" s="3">
        <f>Table1[[#This Row],[Quantity]]*Table1[[#This Row],[Unit_Price]]</f>
        <v>50000</v>
      </c>
    </row>
    <row r="13" spans="1:17">
      <c r="A13" s="5">
        <v>1029</v>
      </c>
      <c r="B13" s="4">
        <v>46037</v>
      </c>
      <c r="C13" s="3" t="s">
        <v>13</v>
      </c>
      <c r="D13" s="3" t="s">
        <v>14</v>
      </c>
      <c r="E13" s="3" t="s">
        <v>67</v>
      </c>
      <c r="F13" s="3" t="s">
        <v>23</v>
      </c>
      <c r="G13" s="3" t="s">
        <v>17</v>
      </c>
      <c r="H13" s="3">
        <v>2</v>
      </c>
      <c r="I13" s="3">
        <v>22000</v>
      </c>
      <c r="J13" s="3" t="s">
        <v>18</v>
      </c>
      <c r="K13" s="3">
        <v>1700</v>
      </c>
      <c r="L13" s="6" t="s">
        <v>19</v>
      </c>
      <c r="M13" s="3">
        <f>Table1[[#This Row],[Quantity]]*Table1[[#This Row],[Unit_Price]]</f>
        <v>44000</v>
      </c>
      <c r="O13" t="s">
        <v>91</v>
      </c>
    </row>
    <row r="14" spans="1:17">
      <c r="A14" s="5">
        <v>1013</v>
      </c>
      <c r="B14" s="4">
        <v>46029</v>
      </c>
      <c r="C14" s="3" t="s">
        <v>13</v>
      </c>
      <c r="D14" s="3" t="s">
        <v>26</v>
      </c>
      <c r="E14" s="3" t="s">
        <v>51</v>
      </c>
      <c r="F14" s="3" t="s">
        <v>23</v>
      </c>
      <c r="G14" s="3" t="s">
        <v>17</v>
      </c>
      <c r="H14" s="3">
        <v>2</v>
      </c>
      <c r="I14" s="3">
        <v>21000</v>
      </c>
      <c r="J14" s="3" t="s">
        <v>18</v>
      </c>
      <c r="K14" s="3">
        <v>1800</v>
      </c>
      <c r="L14" s="6" t="s">
        <v>19</v>
      </c>
      <c r="M14" s="3">
        <f>Table1[[#This Row],[Quantity]]*Table1[[#This Row],[Unit_Price]]</f>
        <v>42000</v>
      </c>
    </row>
    <row r="15" spans="1:17">
      <c r="A15" s="5">
        <v>1039</v>
      </c>
      <c r="B15" s="4">
        <v>46042</v>
      </c>
      <c r="C15" s="3" t="s">
        <v>36</v>
      </c>
      <c r="D15" s="3" t="s">
        <v>37</v>
      </c>
      <c r="E15" s="3" t="s">
        <v>77</v>
      </c>
      <c r="F15" s="3" t="s">
        <v>23</v>
      </c>
      <c r="G15" s="3" t="s">
        <v>17</v>
      </c>
      <c r="H15" s="3">
        <v>2</v>
      </c>
      <c r="I15" s="3">
        <v>18000</v>
      </c>
      <c r="J15" s="3" t="s">
        <v>18</v>
      </c>
      <c r="K15" s="3">
        <v>1200</v>
      </c>
      <c r="L15" s="6" t="s">
        <v>40</v>
      </c>
      <c r="M15" s="3">
        <f>Table1[[#This Row],[Quantity]]*Table1[[#This Row],[Unit_Price]]</f>
        <v>36000</v>
      </c>
    </row>
    <row r="16" spans="1:17">
      <c r="A16" s="5">
        <v>1021</v>
      </c>
      <c r="B16" s="4">
        <v>46033</v>
      </c>
      <c r="C16" s="3" t="s">
        <v>31</v>
      </c>
      <c r="D16" s="3" t="s">
        <v>32</v>
      </c>
      <c r="E16" s="3" t="s">
        <v>59</v>
      </c>
      <c r="F16" s="3" t="s">
        <v>47</v>
      </c>
      <c r="G16" s="3" t="s">
        <v>17</v>
      </c>
      <c r="H16" s="3">
        <v>1</v>
      </c>
      <c r="I16" s="3">
        <v>32000</v>
      </c>
      <c r="J16" s="3" t="s">
        <v>18</v>
      </c>
      <c r="K16" s="3">
        <v>1600</v>
      </c>
      <c r="L16" s="6" t="s">
        <v>19</v>
      </c>
      <c r="M16" s="3">
        <f>Table1[[#This Row],[Quantity]]*Table1[[#This Row],[Unit_Price]]</f>
        <v>32000</v>
      </c>
    </row>
    <row r="17" spans="1:13">
      <c r="A17" s="5">
        <v>1037</v>
      </c>
      <c r="B17" s="4">
        <v>46041</v>
      </c>
      <c r="C17" s="3" t="s">
        <v>13</v>
      </c>
      <c r="D17" s="3" t="s">
        <v>14</v>
      </c>
      <c r="E17" s="3" t="s">
        <v>75</v>
      </c>
      <c r="F17" s="3" t="s">
        <v>47</v>
      </c>
      <c r="G17" s="3" t="s">
        <v>17</v>
      </c>
      <c r="H17" s="3">
        <v>1</v>
      </c>
      <c r="I17" s="3">
        <v>30000</v>
      </c>
      <c r="J17" s="3" t="s">
        <v>18</v>
      </c>
      <c r="K17" s="3">
        <v>1500</v>
      </c>
      <c r="L17" s="6" t="s">
        <v>19</v>
      </c>
      <c r="M17" s="3">
        <f>Table1[[#This Row],[Quantity]]*Table1[[#This Row],[Unit_Price]]</f>
        <v>30000</v>
      </c>
    </row>
    <row r="18" spans="1:13">
      <c r="A18" s="5">
        <v>1009</v>
      </c>
      <c r="B18" s="4">
        <v>46027</v>
      </c>
      <c r="C18" s="3" t="s">
        <v>13</v>
      </c>
      <c r="D18" s="3" t="s">
        <v>14</v>
      </c>
      <c r="E18" s="3" t="s">
        <v>46</v>
      </c>
      <c r="F18" s="3" t="s">
        <v>47</v>
      </c>
      <c r="G18" s="3" t="s">
        <v>17</v>
      </c>
      <c r="H18" s="3">
        <v>1</v>
      </c>
      <c r="I18" s="3">
        <v>30000</v>
      </c>
      <c r="J18" s="3" t="s">
        <v>18</v>
      </c>
      <c r="K18" s="3">
        <v>1500</v>
      </c>
      <c r="L18" s="6" t="s">
        <v>19</v>
      </c>
      <c r="M18" s="3">
        <f>Table1[[#This Row],[Quantity]]*Table1[[#This Row],[Unit_Price]]</f>
        <v>30000</v>
      </c>
    </row>
    <row r="19" spans="1:13">
      <c r="A19" s="5">
        <v>1027</v>
      </c>
      <c r="B19" s="4">
        <v>46036</v>
      </c>
      <c r="C19" s="3" t="s">
        <v>36</v>
      </c>
      <c r="D19" s="3" t="s">
        <v>37</v>
      </c>
      <c r="E19" s="3" t="s">
        <v>65</v>
      </c>
      <c r="F19" s="3" t="s">
        <v>47</v>
      </c>
      <c r="G19" s="3" t="s">
        <v>17</v>
      </c>
      <c r="H19" s="3">
        <v>1</v>
      </c>
      <c r="I19" s="3">
        <v>29000</v>
      </c>
      <c r="J19" s="3" t="s">
        <v>18</v>
      </c>
      <c r="K19" s="3">
        <v>1200</v>
      </c>
      <c r="L19" s="6" t="s">
        <v>40</v>
      </c>
      <c r="M19" s="3">
        <f>Table1[[#This Row],[Quantity]]*Table1[[#This Row],[Unit_Price]]</f>
        <v>29000</v>
      </c>
    </row>
    <row r="20" spans="1:13">
      <c r="A20" s="5">
        <v>1043</v>
      </c>
      <c r="B20" s="4">
        <v>46044</v>
      </c>
      <c r="C20" s="3" t="s">
        <v>36</v>
      </c>
      <c r="D20" s="3" t="s">
        <v>37</v>
      </c>
      <c r="E20" s="3" t="s">
        <v>52</v>
      </c>
      <c r="F20" s="3" t="s">
        <v>47</v>
      </c>
      <c r="G20" s="3" t="s">
        <v>17</v>
      </c>
      <c r="H20" s="3">
        <v>1</v>
      </c>
      <c r="I20" s="3">
        <v>28000</v>
      </c>
      <c r="J20" s="3" t="s">
        <v>18</v>
      </c>
      <c r="K20" s="3">
        <v>1000</v>
      </c>
      <c r="L20" s="6" t="s">
        <v>40</v>
      </c>
      <c r="M20" s="3">
        <f>Table1[[#This Row],[Quantity]]*Table1[[#This Row],[Unit_Price]]</f>
        <v>28000</v>
      </c>
    </row>
    <row r="21" spans="1:13">
      <c r="A21" s="5">
        <v>1034</v>
      </c>
      <c r="B21" s="4">
        <v>46039</v>
      </c>
      <c r="C21" s="3" t="s">
        <v>31</v>
      </c>
      <c r="D21" s="3" t="s">
        <v>43</v>
      </c>
      <c r="E21" s="3" t="s">
        <v>72</v>
      </c>
      <c r="F21" s="3" t="s">
        <v>23</v>
      </c>
      <c r="G21" s="3" t="s">
        <v>17</v>
      </c>
      <c r="H21" s="3">
        <v>1</v>
      </c>
      <c r="I21" s="3">
        <v>20000</v>
      </c>
      <c r="J21" s="3" t="s">
        <v>18</v>
      </c>
      <c r="K21" s="3">
        <v>1000</v>
      </c>
      <c r="L21" s="6" t="s">
        <v>30</v>
      </c>
      <c r="M21" s="3">
        <f>Table1[[#This Row],[Quantity]]*Table1[[#This Row],[Unit_Price]]</f>
        <v>20000</v>
      </c>
    </row>
    <row r="22" spans="1:13">
      <c r="A22" s="5">
        <v>1049</v>
      </c>
      <c r="B22" s="4">
        <v>46047</v>
      </c>
      <c r="C22" s="3" t="s">
        <v>13</v>
      </c>
      <c r="D22" s="3" t="s">
        <v>26</v>
      </c>
      <c r="E22" s="3" t="s">
        <v>57</v>
      </c>
      <c r="F22" s="3" t="s">
        <v>23</v>
      </c>
      <c r="G22" s="3" t="s">
        <v>17</v>
      </c>
      <c r="H22" s="3">
        <v>1</v>
      </c>
      <c r="I22" s="3">
        <v>19000</v>
      </c>
      <c r="J22" s="3" t="s">
        <v>18</v>
      </c>
      <c r="K22" s="3">
        <v>900</v>
      </c>
      <c r="L22" s="6" t="s">
        <v>19</v>
      </c>
      <c r="M22" s="3">
        <f>Table1[[#This Row],[Quantity]]*Table1[[#This Row],[Unit_Price]]</f>
        <v>19000</v>
      </c>
    </row>
    <row r="23" spans="1:13">
      <c r="A23" s="5">
        <v>1018</v>
      </c>
      <c r="B23" s="4">
        <v>46031</v>
      </c>
      <c r="C23" s="3" t="s">
        <v>36</v>
      </c>
      <c r="D23" s="3" t="s">
        <v>37</v>
      </c>
      <c r="E23" s="3" t="s">
        <v>56</v>
      </c>
      <c r="F23" s="3" t="s">
        <v>23</v>
      </c>
      <c r="G23" s="3" t="s">
        <v>17</v>
      </c>
      <c r="H23" s="3">
        <v>1</v>
      </c>
      <c r="I23" s="3">
        <v>17000</v>
      </c>
      <c r="J23" s="3" t="s">
        <v>18</v>
      </c>
      <c r="K23" s="3">
        <v>900</v>
      </c>
      <c r="L23" s="6" t="s">
        <v>40</v>
      </c>
      <c r="M23" s="3">
        <f>Table1[[#This Row],[Quantity]]*Table1[[#This Row],[Unit_Price]]</f>
        <v>17000</v>
      </c>
    </row>
    <row r="24" spans="1:13">
      <c r="A24" s="5">
        <v>1026</v>
      </c>
      <c r="B24" s="4">
        <v>46035</v>
      </c>
      <c r="C24" s="3" t="s">
        <v>31</v>
      </c>
      <c r="D24" s="3" t="s">
        <v>43</v>
      </c>
      <c r="E24" s="3" t="s">
        <v>64</v>
      </c>
      <c r="F24" s="3" t="s">
        <v>34</v>
      </c>
      <c r="G24" s="3" t="s">
        <v>29</v>
      </c>
      <c r="H24" s="3">
        <v>2</v>
      </c>
      <c r="I24" s="3">
        <v>8500</v>
      </c>
      <c r="J24" s="3" t="s">
        <v>18</v>
      </c>
      <c r="K24" s="3">
        <v>800</v>
      </c>
      <c r="L24" s="6" t="s">
        <v>30</v>
      </c>
      <c r="M24" s="3">
        <f>Table1[[#This Row],[Quantity]]*Table1[[#This Row],[Unit_Price]]</f>
        <v>17000</v>
      </c>
    </row>
    <row r="25" spans="1:13">
      <c r="A25" s="5">
        <v>1050</v>
      </c>
      <c r="B25" s="4">
        <v>46047</v>
      </c>
      <c r="C25" s="3" t="s">
        <v>31</v>
      </c>
      <c r="D25" s="3" t="s">
        <v>43</v>
      </c>
      <c r="E25" s="3" t="s">
        <v>15</v>
      </c>
      <c r="F25" s="3" t="s">
        <v>45</v>
      </c>
      <c r="G25" s="3" t="s">
        <v>29</v>
      </c>
      <c r="H25" s="3">
        <v>1</v>
      </c>
      <c r="I25" s="3">
        <v>15000</v>
      </c>
      <c r="J25" s="3" t="s">
        <v>18</v>
      </c>
      <c r="K25" s="3">
        <v>800</v>
      </c>
      <c r="L25" s="6" t="s">
        <v>30</v>
      </c>
      <c r="M25" s="3">
        <f>Table1[[#This Row],[Quantity]]*Table1[[#This Row],[Unit_Price]]</f>
        <v>15000</v>
      </c>
    </row>
    <row r="26" spans="1:13">
      <c r="A26" s="5">
        <v>1038</v>
      </c>
      <c r="B26" s="4">
        <v>46041</v>
      </c>
      <c r="C26" s="3" t="s">
        <v>31</v>
      </c>
      <c r="D26" s="3" t="s">
        <v>32</v>
      </c>
      <c r="E26" s="3" t="s">
        <v>76</v>
      </c>
      <c r="F26" s="3" t="s">
        <v>45</v>
      </c>
      <c r="G26" s="3" t="s">
        <v>29</v>
      </c>
      <c r="H26" s="3">
        <v>1</v>
      </c>
      <c r="I26" s="3">
        <v>15000</v>
      </c>
      <c r="J26" s="3" t="s">
        <v>18</v>
      </c>
      <c r="K26" s="3">
        <v>800</v>
      </c>
      <c r="L26" s="6" t="s">
        <v>30</v>
      </c>
      <c r="M26" s="3">
        <f>Table1[[#This Row],[Quantity]]*Table1[[#This Row],[Unit_Price]]</f>
        <v>15000</v>
      </c>
    </row>
    <row r="27" spans="1:13">
      <c r="A27" s="5">
        <v>1010</v>
      </c>
      <c r="B27" s="4">
        <v>46027</v>
      </c>
      <c r="C27" s="3" t="s">
        <v>36</v>
      </c>
      <c r="D27" s="3" t="s">
        <v>37</v>
      </c>
      <c r="E27" s="3" t="s">
        <v>48</v>
      </c>
      <c r="F27" s="3" t="s">
        <v>34</v>
      </c>
      <c r="G27" s="3" t="s">
        <v>29</v>
      </c>
      <c r="H27" s="3">
        <v>2</v>
      </c>
      <c r="I27" s="3">
        <v>7000</v>
      </c>
      <c r="J27" s="3" t="s">
        <v>18</v>
      </c>
      <c r="K27" s="3">
        <v>600</v>
      </c>
      <c r="L27" s="6" t="s">
        <v>40</v>
      </c>
      <c r="M27" s="3">
        <f>Table1[[#This Row],[Quantity]]*Table1[[#This Row],[Unit_Price]]</f>
        <v>14000</v>
      </c>
    </row>
    <row r="28" spans="1:13">
      <c r="A28" s="5">
        <v>1045</v>
      </c>
      <c r="B28" s="4">
        <v>46045</v>
      </c>
      <c r="C28" s="3" t="s">
        <v>13</v>
      </c>
      <c r="D28" s="3" t="s">
        <v>14</v>
      </c>
      <c r="E28" s="3" t="s">
        <v>79</v>
      </c>
      <c r="F28" s="3" t="s">
        <v>45</v>
      </c>
      <c r="G28" s="3" t="s">
        <v>29</v>
      </c>
      <c r="H28" s="3">
        <v>1</v>
      </c>
      <c r="I28" s="3">
        <v>14000</v>
      </c>
      <c r="J28" s="3" t="s">
        <v>18</v>
      </c>
      <c r="K28" s="3">
        <v>700</v>
      </c>
      <c r="L28" s="6" t="s">
        <v>19</v>
      </c>
      <c r="M28" s="3">
        <f>Table1[[#This Row],[Quantity]]*Table1[[#This Row],[Unit_Price]]</f>
        <v>14000</v>
      </c>
    </row>
    <row r="29" spans="1:13">
      <c r="A29" s="5">
        <v>1022</v>
      </c>
      <c r="B29" s="4">
        <v>46033</v>
      </c>
      <c r="C29" s="3" t="s">
        <v>13</v>
      </c>
      <c r="D29" s="3" t="s">
        <v>14</v>
      </c>
      <c r="E29" s="3" t="s">
        <v>60</v>
      </c>
      <c r="F29" s="3" t="s">
        <v>45</v>
      </c>
      <c r="G29" s="3" t="s">
        <v>29</v>
      </c>
      <c r="H29" s="3">
        <v>1</v>
      </c>
      <c r="I29" s="3">
        <v>14000</v>
      </c>
      <c r="J29" s="3" t="s">
        <v>18</v>
      </c>
      <c r="K29" s="3">
        <v>700</v>
      </c>
      <c r="L29" s="6" t="s">
        <v>30</v>
      </c>
      <c r="M29" s="3">
        <f>Table1[[#This Row],[Quantity]]*Table1[[#This Row],[Unit_Price]]</f>
        <v>14000</v>
      </c>
    </row>
    <row r="30" spans="1:13">
      <c r="A30" s="5">
        <v>1033</v>
      </c>
      <c r="B30" s="4">
        <v>46039</v>
      </c>
      <c r="C30" s="3" t="s">
        <v>13</v>
      </c>
      <c r="D30" s="3" t="s">
        <v>26</v>
      </c>
      <c r="E30" s="3" t="s">
        <v>71</v>
      </c>
      <c r="F30" s="3" t="s">
        <v>45</v>
      </c>
      <c r="G30" s="3" t="s">
        <v>29</v>
      </c>
      <c r="H30" s="3">
        <v>1</v>
      </c>
      <c r="I30" s="3">
        <v>13000</v>
      </c>
      <c r="J30" s="3" t="s">
        <v>18</v>
      </c>
      <c r="K30" s="3">
        <v>700</v>
      </c>
      <c r="L30" s="6" t="s">
        <v>19</v>
      </c>
      <c r="M30" s="3">
        <f>Table1[[#This Row],[Quantity]]*Table1[[#This Row],[Unit_Price]]</f>
        <v>13000</v>
      </c>
    </row>
    <row r="31" spans="1:13">
      <c r="A31" s="5">
        <v>1008</v>
      </c>
      <c r="B31" s="4">
        <v>46026</v>
      </c>
      <c r="C31" s="3" t="s">
        <v>31</v>
      </c>
      <c r="D31" s="3" t="s">
        <v>43</v>
      </c>
      <c r="E31" s="3" t="s">
        <v>44</v>
      </c>
      <c r="F31" s="3" t="s">
        <v>45</v>
      </c>
      <c r="G31" s="3" t="s">
        <v>29</v>
      </c>
      <c r="H31" s="3">
        <v>1</v>
      </c>
      <c r="I31" s="3">
        <v>12000</v>
      </c>
      <c r="J31" s="3" t="s">
        <v>18</v>
      </c>
      <c r="K31" s="3">
        <v>800</v>
      </c>
      <c r="L31" s="6" t="s">
        <v>30</v>
      </c>
      <c r="M31" s="3">
        <f>Table1[[#This Row],[Quantity]]*Table1[[#This Row],[Unit_Price]]</f>
        <v>12000</v>
      </c>
    </row>
    <row r="32" spans="1:13">
      <c r="A32" s="5">
        <v>1019</v>
      </c>
      <c r="B32" s="4">
        <v>46032</v>
      </c>
      <c r="C32" s="3" t="s">
        <v>13</v>
      </c>
      <c r="D32" s="3" t="s">
        <v>26</v>
      </c>
      <c r="E32" s="3" t="s">
        <v>57</v>
      </c>
      <c r="F32" s="3" t="s">
        <v>34</v>
      </c>
      <c r="G32" s="3" t="s">
        <v>29</v>
      </c>
      <c r="H32" s="3">
        <v>1</v>
      </c>
      <c r="I32" s="3">
        <v>9000</v>
      </c>
      <c r="J32" s="3" t="s">
        <v>18</v>
      </c>
      <c r="K32" s="3">
        <v>400</v>
      </c>
      <c r="L32" s="6" t="s">
        <v>19</v>
      </c>
      <c r="M32" s="3">
        <f>Table1[[#This Row],[Quantity]]*Table1[[#This Row],[Unit_Price]]</f>
        <v>9000</v>
      </c>
    </row>
    <row r="33" spans="1:13">
      <c r="A33" s="5">
        <v>1017</v>
      </c>
      <c r="B33" s="4">
        <v>46031</v>
      </c>
      <c r="C33" s="3" t="s">
        <v>31</v>
      </c>
      <c r="D33" s="3" t="s">
        <v>43</v>
      </c>
      <c r="E33" s="3" t="s">
        <v>55</v>
      </c>
      <c r="F33" s="3" t="s">
        <v>28</v>
      </c>
      <c r="G33" s="3" t="s">
        <v>29</v>
      </c>
      <c r="H33" s="3">
        <v>5</v>
      </c>
      <c r="I33" s="3">
        <v>1400</v>
      </c>
      <c r="J33" s="3" t="s">
        <v>18</v>
      </c>
      <c r="K33" s="3">
        <v>500</v>
      </c>
      <c r="L33" s="6" t="s">
        <v>30</v>
      </c>
      <c r="M33" s="3">
        <f>Table1[[#This Row],[Quantity]]*Table1[[#This Row],[Unit_Price]]</f>
        <v>7000</v>
      </c>
    </row>
    <row r="34" spans="1:13">
      <c r="A34" s="5">
        <v>1005</v>
      </c>
      <c r="B34" s="4">
        <v>46025</v>
      </c>
      <c r="C34" s="3" t="s">
        <v>36</v>
      </c>
      <c r="D34" s="3" t="s">
        <v>37</v>
      </c>
      <c r="E34" s="3" t="s">
        <v>38</v>
      </c>
      <c r="F34" s="3" t="s">
        <v>39</v>
      </c>
      <c r="G34" s="3" t="s">
        <v>17</v>
      </c>
      <c r="H34" s="3">
        <v>3</v>
      </c>
      <c r="I34" s="3">
        <v>2000</v>
      </c>
      <c r="J34" s="3" t="s">
        <v>18</v>
      </c>
      <c r="K34" s="3">
        <v>200</v>
      </c>
      <c r="L34" s="6" t="s">
        <v>40</v>
      </c>
      <c r="M34" s="3">
        <f>Table1[[#This Row],[Quantity]]*Table1[[#This Row],[Unit_Price]]</f>
        <v>6000</v>
      </c>
    </row>
    <row r="35" spans="1:13">
      <c r="A35" s="5">
        <v>1003</v>
      </c>
      <c r="B35" s="4">
        <v>46024</v>
      </c>
      <c r="C35" s="3" t="s">
        <v>13</v>
      </c>
      <c r="D35" s="3" t="s">
        <v>26</v>
      </c>
      <c r="E35" s="3" t="s">
        <v>27</v>
      </c>
      <c r="F35" s="3" t="s">
        <v>28</v>
      </c>
      <c r="G35" s="3" t="s">
        <v>29</v>
      </c>
      <c r="H35" s="3">
        <v>4</v>
      </c>
      <c r="I35" s="3">
        <v>1500</v>
      </c>
      <c r="J35" s="3" t="s">
        <v>18</v>
      </c>
      <c r="K35" s="3">
        <v>500</v>
      </c>
      <c r="L35" s="6" t="s">
        <v>30</v>
      </c>
      <c r="M35" s="3">
        <f>Table1[[#This Row],[Quantity]]*Table1[[#This Row],[Unit_Price]]</f>
        <v>6000</v>
      </c>
    </row>
    <row r="36" spans="1:13">
      <c r="A36" s="5">
        <v>1035</v>
      </c>
      <c r="B36" s="4">
        <v>46040</v>
      </c>
      <c r="C36" s="3" t="s">
        <v>36</v>
      </c>
      <c r="D36" s="3" t="s">
        <v>37</v>
      </c>
      <c r="E36" s="3" t="s">
        <v>73</v>
      </c>
      <c r="F36" s="3" t="s">
        <v>28</v>
      </c>
      <c r="G36" s="3" t="s">
        <v>29</v>
      </c>
      <c r="H36" s="3">
        <v>4</v>
      </c>
      <c r="I36" s="3">
        <v>1400</v>
      </c>
      <c r="J36" s="3" t="s">
        <v>18</v>
      </c>
      <c r="K36" s="3">
        <v>400</v>
      </c>
      <c r="L36" s="6" t="s">
        <v>40</v>
      </c>
      <c r="M36" s="3">
        <f>Table1[[#This Row],[Quantity]]*Table1[[#This Row],[Unit_Price]]</f>
        <v>5600</v>
      </c>
    </row>
    <row r="37" spans="1:13">
      <c r="A37" s="5">
        <v>1042</v>
      </c>
      <c r="B37" s="4">
        <v>46043</v>
      </c>
      <c r="C37" s="3" t="s">
        <v>31</v>
      </c>
      <c r="D37" s="3" t="s">
        <v>43</v>
      </c>
      <c r="E37" s="3" t="s">
        <v>51</v>
      </c>
      <c r="F37" s="3" t="s">
        <v>28</v>
      </c>
      <c r="G37" s="3" t="s">
        <v>29</v>
      </c>
      <c r="H37" s="3">
        <v>3</v>
      </c>
      <c r="I37" s="3">
        <v>1500</v>
      </c>
      <c r="J37" s="3" t="s">
        <v>18</v>
      </c>
      <c r="K37" s="3">
        <v>300</v>
      </c>
      <c r="L37" s="6" t="s">
        <v>30</v>
      </c>
      <c r="M37" s="3">
        <f>Table1[[#This Row],[Quantity]]*Table1[[#This Row],[Unit_Price]]</f>
        <v>4500</v>
      </c>
    </row>
    <row r="38" spans="1:13">
      <c r="A38" s="5">
        <v>1030</v>
      </c>
      <c r="B38" s="4">
        <v>46037</v>
      </c>
      <c r="C38" s="3" t="s">
        <v>31</v>
      </c>
      <c r="D38" s="3" t="s">
        <v>32</v>
      </c>
      <c r="E38" s="3" t="s">
        <v>68</v>
      </c>
      <c r="F38" s="3" t="s">
        <v>28</v>
      </c>
      <c r="G38" s="3" t="s">
        <v>29</v>
      </c>
      <c r="H38" s="3">
        <v>3</v>
      </c>
      <c r="I38" s="3">
        <v>1500</v>
      </c>
      <c r="J38" s="3" t="s">
        <v>18</v>
      </c>
      <c r="K38" s="3">
        <v>300</v>
      </c>
      <c r="L38" s="6" t="s">
        <v>30</v>
      </c>
      <c r="M38" s="3">
        <f>Table1[[#This Row],[Quantity]]*Table1[[#This Row],[Unit_Price]]</f>
        <v>4500</v>
      </c>
    </row>
    <row r="39" spans="1:13">
      <c r="A39" s="5">
        <v>1012</v>
      </c>
      <c r="B39" s="4">
        <v>46028</v>
      </c>
      <c r="C39" s="3" t="s">
        <v>31</v>
      </c>
      <c r="D39" s="3" t="s">
        <v>32</v>
      </c>
      <c r="E39" s="3" t="s">
        <v>50</v>
      </c>
      <c r="F39" s="3" t="s">
        <v>28</v>
      </c>
      <c r="G39" s="3" t="s">
        <v>29</v>
      </c>
      <c r="H39" s="3">
        <v>3</v>
      </c>
      <c r="I39" s="3">
        <v>1500</v>
      </c>
      <c r="J39" s="3" t="s">
        <v>18</v>
      </c>
      <c r="K39" s="3">
        <v>300</v>
      </c>
      <c r="L39" s="6" t="s">
        <v>30</v>
      </c>
      <c r="M39" s="3">
        <f>Table1[[#This Row],[Quantity]]*Table1[[#This Row],[Unit_Price]]</f>
        <v>4500</v>
      </c>
    </row>
    <row r="40" spans="1:13">
      <c r="A40" s="5">
        <v>1047</v>
      </c>
      <c r="B40" s="4">
        <v>46046</v>
      </c>
      <c r="C40" s="3" t="s">
        <v>36</v>
      </c>
      <c r="D40" s="3" t="s">
        <v>37</v>
      </c>
      <c r="E40" s="3" t="s">
        <v>59</v>
      </c>
      <c r="F40" s="3" t="s">
        <v>28</v>
      </c>
      <c r="G40" s="3" t="s">
        <v>29</v>
      </c>
      <c r="H40" s="3">
        <v>2</v>
      </c>
      <c r="I40" s="3">
        <v>1600</v>
      </c>
      <c r="J40" s="3" t="s">
        <v>18</v>
      </c>
      <c r="K40" s="3">
        <v>200</v>
      </c>
      <c r="L40" s="6" t="s">
        <v>40</v>
      </c>
      <c r="M40" s="3">
        <f>Table1[[#This Row],[Quantity]]*Table1[[#This Row],[Unit_Price]]</f>
        <v>3200</v>
      </c>
    </row>
    <row r="41" spans="1:13">
      <c r="A41" s="5">
        <v>1023</v>
      </c>
      <c r="B41" s="4">
        <v>46034</v>
      </c>
      <c r="C41" s="3" t="s">
        <v>36</v>
      </c>
      <c r="D41" s="3" t="s">
        <v>37</v>
      </c>
      <c r="E41" s="3" t="s">
        <v>61</v>
      </c>
      <c r="F41" s="3" t="s">
        <v>28</v>
      </c>
      <c r="G41" s="3" t="s">
        <v>29</v>
      </c>
      <c r="H41" s="3">
        <v>2</v>
      </c>
      <c r="I41" s="3">
        <v>1600</v>
      </c>
      <c r="J41" s="3" t="s">
        <v>18</v>
      </c>
      <c r="K41" s="3">
        <v>200</v>
      </c>
      <c r="L41" s="6" t="s">
        <v>40</v>
      </c>
      <c r="M41" s="3">
        <f>Table1[[#This Row],[Quantity]]*Table1[[#This Row],[Unit_Price]]</f>
        <v>3200</v>
      </c>
    </row>
    <row r="42" spans="1:13">
      <c r="A42" s="5">
        <v>1020</v>
      </c>
      <c r="B42" s="4">
        <v>46032</v>
      </c>
      <c r="C42" s="3" t="s">
        <v>20</v>
      </c>
      <c r="D42" s="3" t="s">
        <v>21</v>
      </c>
      <c r="E42" s="3" t="s">
        <v>58</v>
      </c>
      <c r="F42" s="3" t="s">
        <v>16</v>
      </c>
      <c r="G42" s="3" t="s">
        <v>17</v>
      </c>
      <c r="H42" s="3">
        <v>1</v>
      </c>
      <c r="I42" s="3">
        <v>58000</v>
      </c>
      <c r="J42" s="3" t="s">
        <v>24</v>
      </c>
      <c r="K42" s="3">
        <v>2500</v>
      </c>
      <c r="L42" s="6" t="s">
        <v>25</v>
      </c>
      <c r="M42" s="3">
        <f>Table1[[#This Row],[Quantity]]*Table1[[#This Row],[Unit_Price]]</f>
        <v>58000</v>
      </c>
    </row>
    <row r="43" spans="1:13">
      <c r="A43" s="5">
        <v>1024</v>
      </c>
      <c r="B43" s="4">
        <v>46034</v>
      </c>
      <c r="C43" s="3" t="s">
        <v>20</v>
      </c>
      <c r="D43" s="3" t="s">
        <v>21</v>
      </c>
      <c r="E43" s="3" t="s">
        <v>62</v>
      </c>
      <c r="F43" s="3" t="s">
        <v>23</v>
      </c>
      <c r="G43" s="3" t="s">
        <v>17</v>
      </c>
      <c r="H43" s="3">
        <v>3</v>
      </c>
      <c r="I43" s="3">
        <v>19000</v>
      </c>
      <c r="J43" s="3" t="s">
        <v>24</v>
      </c>
      <c r="K43" s="3">
        <v>1800</v>
      </c>
      <c r="L43" s="6" t="s">
        <v>25</v>
      </c>
      <c r="M43" s="3">
        <f>Table1[[#This Row],[Quantity]]*Table1[[#This Row],[Unit_Price]]</f>
        <v>57000</v>
      </c>
    </row>
    <row r="44" spans="1:13">
      <c r="A44" s="5">
        <v>1036</v>
      </c>
      <c r="B44" s="4">
        <v>46040</v>
      </c>
      <c r="C44" s="3" t="s">
        <v>20</v>
      </c>
      <c r="D44" s="3" t="s">
        <v>21</v>
      </c>
      <c r="E44" s="3" t="s">
        <v>74</v>
      </c>
      <c r="F44" s="3" t="s">
        <v>16</v>
      </c>
      <c r="G44" s="3" t="s">
        <v>17</v>
      </c>
      <c r="H44" s="3">
        <v>1</v>
      </c>
      <c r="I44" s="3">
        <v>54000</v>
      </c>
      <c r="J44" s="3" t="s">
        <v>24</v>
      </c>
      <c r="K44" s="3">
        <v>2300</v>
      </c>
      <c r="L44" s="6" t="s">
        <v>25</v>
      </c>
      <c r="M44" s="3">
        <f>Table1[[#This Row],[Quantity]]*Table1[[#This Row],[Unit_Price]]</f>
        <v>54000</v>
      </c>
    </row>
    <row r="45" spans="1:13">
      <c r="A45" s="5">
        <v>1011</v>
      </c>
      <c r="B45" s="4">
        <v>46028</v>
      </c>
      <c r="C45" s="3" t="s">
        <v>20</v>
      </c>
      <c r="D45" s="3" t="s">
        <v>21</v>
      </c>
      <c r="E45" s="3" t="s">
        <v>49</v>
      </c>
      <c r="F45" s="3" t="s">
        <v>16</v>
      </c>
      <c r="G45" s="3" t="s">
        <v>17</v>
      </c>
      <c r="H45" s="3">
        <v>1</v>
      </c>
      <c r="I45" s="3">
        <v>52000</v>
      </c>
      <c r="J45" s="3" t="s">
        <v>24</v>
      </c>
      <c r="K45" s="3">
        <v>2200</v>
      </c>
      <c r="L45" s="6" t="s">
        <v>25</v>
      </c>
      <c r="M45" s="3">
        <f>Table1[[#This Row],[Quantity]]*Table1[[#This Row],[Unit_Price]]</f>
        <v>52000</v>
      </c>
    </row>
    <row r="46" spans="1:13">
      <c r="A46" s="5">
        <v>1044</v>
      </c>
      <c r="B46" s="4">
        <v>46044</v>
      </c>
      <c r="C46" s="3" t="s">
        <v>20</v>
      </c>
      <c r="D46" s="3" t="s">
        <v>21</v>
      </c>
      <c r="E46" s="3" t="s">
        <v>53</v>
      </c>
      <c r="F46" s="3" t="s">
        <v>23</v>
      </c>
      <c r="G46" s="3" t="s">
        <v>17</v>
      </c>
      <c r="H46" s="3">
        <v>2</v>
      </c>
      <c r="I46" s="3">
        <v>21000</v>
      </c>
      <c r="J46" s="3" t="s">
        <v>24</v>
      </c>
      <c r="K46" s="3">
        <v>1600</v>
      </c>
      <c r="L46" s="6" t="s">
        <v>25</v>
      </c>
      <c r="M46" s="3">
        <f>Table1[[#This Row],[Quantity]]*Table1[[#This Row],[Unit_Price]]</f>
        <v>42000</v>
      </c>
    </row>
    <row r="47" spans="1:13">
      <c r="A47" s="5">
        <v>1002</v>
      </c>
      <c r="B47" s="4">
        <v>46023</v>
      </c>
      <c r="C47" s="3" t="s">
        <v>20</v>
      </c>
      <c r="D47" s="3" t="s">
        <v>21</v>
      </c>
      <c r="E47" s="3" t="s">
        <v>22</v>
      </c>
      <c r="F47" s="3" t="s">
        <v>23</v>
      </c>
      <c r="G47" s="3" t="s">
        <v>17</v>
      </c>
      <c r="H47" s="3">
        <v>2</v>
      </c>
      <c r="I47" s="3">
        <v>20000</v>
      </c>
      <c r="J47" s="3" t="s">
        <v>24</v>
      </c>
      <c r="K47" s="3">
        <v>1500</v>
      </c>
      <c r="L47" s="6" t="s">
        <v>25</v>
      </c>
      <c r="M47" s="3">
        <f>Table1[[#This Row],[Quantity]]*Table1[[#This Row],[Unit_Price]]</f>
        <v>40000</v>
      </c>
    </row>
    <row r="48" spans="1:13">
      <c r="A48" s="5">
        <v>1032</v>
      </c>
      <c r="B48" s="4">
        <v>46038</v>
      </c>
      <c r="C48" s="3" t="s">
        <v>20</v>
      </c>
      <c r="D48" s="3" t="s">
        <v>21</v>
      </c>
      <c r="E48" s="3" t="s">
        <v>70</v>
      </c>
      <c r="F48" s="3" t="s">
        <v>47</v>
      </c>
      <c r="G48" s="3" t="s">
        <v>17</v>
      </c>
      <c r="H48" s="3">
        <v>1</v>
      </c>
      <c r="I48" s="3">
        <v>31000</v>
      </c>
      <c r="J48" s="3" t="s">
        <v>24</v>
      </c>
      <c r="K48" s="3">
        <v>1500</v>
      </c>
      <c r="L48" s="6" t="s">
        <v>25</v>
      </c>
      <c r="M48" s="3">
        <f>Table1[[#This Row],[Quantity]]*Table1[[#This Row],[Unit_Price]]</f>
        <v>31000</v>
      </c>
    </row>
    <row r="49" spans="1:13">
      <c r="A49" s="5">
        <v>1048</v>
      </c>
      <c r="B49" s="4">
        <v>46046</v>
      </c>
      <c r="C49" s="3" t="s">
        <v>20</v>
      </c>
      <c r="D49" s="3" t="s">
        <v>21</v>
      </c>
      <c r="E49" s="3" t="s">
        <v>33</v>
      </c>
      <c r="F49" s="3" t="s">
        <v>47</v>
      </c>
      <c r="G49" s="3" t="s">
        <v>17</v>
      </c>
      <c r="H49" s="3">
        <v>1</v>
      </c>
      <c r="I49" s="3">
        <v>30000</v>
      </c>
      <c r="J49" s="3" t="s">
        <v>24</v>
      </c>
      <c r="K49" s="3">
        <v>1400</v>
      </c>
      <c r="L49" s="6" t="s">
        <v>25</v>
      </c>
      <c r="M49" s="3">
        <f>Table1[[#This Row],[Quantity]]*Table1[[#This Row],[Unit_Price]]</f>
        <v>30000</v>
      </c>
    </row>
    <row r="50" spans="1:13">
      <c r="A50" s="5">
        <v>1015</v>
      </c>
      <c r="B50" s="4">
        <v>46030</v>
      </c>
      <c r="C50" s="3" t="s">
        <v>20</v>
      </c>
      <c r="D50" s="3" t="s">
        <v>21</v>
      </c>
      <c r="E50" s="3" t="s">
        <v>53</v>
      </c>
      <c r="F50" s="3" t="s">
        <v>47</v>
      </c>
      <c r="G50" s="3" t="s">
        <v>17</v>
      </c>
      <c r="H50" s="3">
        <v>1</v>
      </c>
      <c r="I50" s="3">
        <v>28000</v>
      </c>
      <c r="J50" s="3" t="s">
        <v>24</v>
      </c>
      <c r="K50" s="3">
        <v>1300</v>
      </c>
      <c r="L50" s="6" t="s">
        <v>25</v>
      </c>
      <c r="M50" s="3">
        <f>Table1[[#This Row],[Quantity]]*Table1[[#This Row],[Unit_Price]]</f>
        <v>28000</v>
      </c>
    </row>
    <row r="51" spans="1:13">
      <c r="A51" s="10">
        <v>1007</v>
      </c>
      <c r="B51" s="11">
        <v>46026</v>
      </c>
      <c r="C51" s="12" t="s">
        <v>20</v>
      </c>
      <c r="D51" s="12" t="s">
        <v>21</v>
      </c>
      <c r="E51" s="12" t="s">
        <v>42</v>
      </c>
      <c r="F51" s="12" t="s">
        <v>23</v>
      </c>
      <c r="G51" s="12" t="s">
        <v>17</v>
      </c>
      <c r="H51" s="12">
        <v>1</v>
      </c>
      <c r="I51" s="12">
        <v>18000</v>
      </c>
      <c r="J51" s="12" t="s">
        <v>24</v>
      </c>
      <c r="K51" s="12">
        <v>1200</v>
      </c>
      <c r="L51" s="13" t="s">
        <v>25</v>
      </c>
      <c r="M51" s="12">
        <f>Table1[[#This Row],[Quantity]]*Table1[[#This Row],[Unit_Price]]</f>
        <v>18000</v>
      </c>
    </row>
  </sheetData>
  <mergeCells count="1">
    <mergeCell ref="O3:P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C3CD-9BEF-4EBC-9591-CD26BCC1C486}">
  <dimension ref="A1:U72"/>
  <sheetViews>
    <sheetView topLeftCell="A48" workbookViewId="0">
      <selection activeCell="P50" sqref="P50"/>
    </sheetView>
  </sheetViews>
  <sheetFormatPr defaultRowHeight="14.4"/>
  <cols>
    <col min="2" max="2" width="17" customWidth="1"/>
    <col min="13" max="13" width="13" customWidth="1"/>
    <col min="17" max="17" width="11.44140625" customWidth="1"/>
    <col min="18" max="18" width="12.5546875" bestFit="1" customWidth="1"/>
    <col min="19" max="19" width="16.44140625" bestFit="1" customWidth="1"/>
  </cols>
  <sheetData>
    <row r="1" spans="1:13" ht="31.2" customHeight="1">
      <c r="B1" s="42" t="s">
        <v>93</v>
      </c>
      <c r="C1" s="42"/>
      <c r="D1" s="42"/>
      <c r="E1" s="42"/>
      <c r="F1" s="42"/>
      <c r="G1" s="42"/>
      <c r="H1" s="42"/>
      <c r="I1" s="42" t="s">
        <v>114</v>
      </c>
      <c r="J1" s="42"/>
      <c r="K1" s="42"/>
      <c r="L1" s="42"/>
      <c r="M1" s="42"/>
    </row>
    <row r="2" spans="1:13" ht="4.8" customHeight="1"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18">
      <c r="B3" s="16"/>
    </row>
    <row r="4" spans="1:13" ht="18">
      <c r="B4" s="41" t="s">
        <v>94</v>
      </c>
    </row>
    <row r="5" spans="1:13" ht="15.6">
      <c r="B5" s="40" t="s">
        <v>95</v>
      </c>
      <c r="C5" s="40"/>
      <c r="D5" s="40"/>
    </row>
    <row r="7" spans="1:13">
      <c r="A7" s="7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8" t="s">
        <v>5</v>
      </c>
      <c r="G7" s="8" t="s">
        <v>6</v>
      </c>
      <c r="H7" s="8" t="s">
        <v>7</v>
      </c>
      <c r="I7" s="8" t="s">
        <v>8</v>
      </c>
      <c r="J7" s="8" t="s">
        <v>10</v>
      </c>
      <c r="K7" s="8" t="s">
        <v>11</v>
      </c>
      <c r="L7" s="9" t="s">
        <v>12</v>
      </c>
      <c r="M7" s="8" t="s">
        <v>81</v>
      </c>
    </row>
    <row r="8" spans="1:13" hidden="1">
      <c r="A8" s="5">
        <v>1028</v>
      </c>
      <c r="B8" s="4">
        <v>46036</v>
      </c>
      <c r="C8" s="3" t="s">
        <v>20</v>
      </c>
      <c r="D8" s="3" t="s">
        <v>21</v>
      </c>
      <c r="E8" s="3" t="s">
        <v>66</v>
      </c>
      <c r="F8" s="3" t="s">
        <v>45</v>
      </c>
      <c r="G8" s="3" t="s">
        <v>29</v>
      </c>
      <c r="H8" s="3">
        <v>1</v>
      </c>
      <c r="I8" s="3">
        <v>16000</v>
      </c>
      <c r="J8" s="3" t="s">
        <v>35</v>
      </c>
      <c r="K8" s="3">
        <v>600</v>
      </c>
      <c r="L8" s="6" t="s">
        <v>25</v>
      </c>
      <c r="M8" s="19">
        <f>Table13[[#This Row],[Quantity]]*Table13[[#This Row],[Unit_Price]]</f>
        <v>16000</v>
      </c>
    </row>
    <row r="9" spans="1:13" hidden="1">
      <c r="A9" s="5">
        <v>1014</v>
      </c>
      <c r="B9" s="4">
        <v>46029</v>
      </c>
      <c r="C9" s="3" t="s">
        <v>36</v>
      </c>
      <c r="D9" s="3" t="s">
        <v>37</v>
      </c>
      <c r="E9" s="3" t="s">
        <v>52</v>
      </c>
      <c r="F9" s="3" t="s">
        <v>45</v>
      </c>
      <c r="G9" s="3" t="s">
        <v>29</v>
      </c>
      <c r="H9" s="3">
        <v>1</v>
      </c>
      <c r="I9" s="3">
        <v>15000</v>
      </c>
      <c r="J9" s="3" t="s">
        <v>35</v>
      </c>
      <c r="K9" s="3">
        <v>700</v>
      </c>
      <c r="L9" s="6" t="s">
        <v>40</v>
      </c>
      <c r="M9" s="3">
        <f>Table13[[#This Row],[Quantity]]*Table13[[#This Row],[Unit_Price]]</f>
        <v>15000</v>
      </c>
    </row>
    <row r="10" spans="1:13" hidden="1">
      <c r="A10" s="5">
        <v>1040</v>
      </c>
      <c r="B10" s="4">
        <v>46042</v>
      </c>
      <c r="C10" s="3" t="s">
        <v>20</v>
      </c>
      <c r="D10" s="3" t="s">
        <v>21</v>
      </c>
      <c r="E10" s="3" t="s">
        <v>22</v>
      </c>
      <c r="F10" s="3" t="s">
        <v>34</v>
      </c>
      <c r="G10" s="3" t="s">
        <v>29</v>
      </c>
      <c r="H10" s="3">
        <v>1</v>
      </c>
      <c r="I10" s="3">
        <v>9000</v>
      </c>
      <c r="J10" s="3" t="s">
        <v>35</v>
      </c>
      <c r="K10" s="3">
        <v>400</v>
      </c>
      <c r="L10" s="6" t="s">
        <v>25</v>
      </c>
      <c r="M10" s="3">
        <f>Table13[[#This Row],[Quantity]]*Table13[[#This Row],[Unit_Price]]</f>
        <v>9000</v>
      </c>
    </row>
    <row r="11" spans="1:13" hidden="1">
      <c r="A11" s="5">
        <v>1004</v>
      </c>
      <c r="B11" s="4">
        <v>46024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29</v>
      </c>
      <c r="H11" s="3">
        <v>1</v>
      </c>
      <c r="I11" s="3">
        <v>8000</v>
      </c>
      <c r="J11" s="3" t="s">
        <v>35</v>
      </c>
      <c r="K11" s="3">
        <v>300</v>
      </c>
      <c r="L11" s="6" t="s">
        <v>19</v>
      </c>
      <c r="M11" s="3">
        <f>Table13[[#This Row],[Quantity]]*Table13[[#This Row],[Unit_Price]]</f>
        <v>8000</v>
      </c>
    </row>
    <row r="12" spans="1:13" hidden="1">
      <c r="A12" s="5">
        <v>1016</v>
      </c>
      <c r="B12" s="4">
        <v>46030</v>
      </c>
      <c r="C12" s="3" t="s">
        <v>13</v>
      </c>
      <c r="D12" s="3" t="s">
        <v>14</v>
      </c>
      <c r="E12" s="3" t="s">
        <v>54</v>
      </c>
      <c r="F12" s="3" t="s">
        <v>16</v>
      </c>
      <c r="G12" s="3" t="s">
        <v>17</v>
      </c>
      <c r="H12" s="3">
        <v>1</v>
      </c>
      <c r="I12" s="3">
        <v>60000</v>
      </c>
      <c r="J12" s="3" t="s">
        <v>18</v>
      </c>
      <c r="K12" s="3">
        <v>3000</v>
      </c>
      <c r="L12" s="6" t="s">
        <v>19</v>
      </c>
      <c r="M12" s="3">
        <f>Table13[[#This Row],[Quantity]]*Table13[[#This Row],[Unit_Price]]</f>
        <v>60000</v>
      </c>
    </row>
    <row r="13" spans="1:13" hidden="1">
      <c r="A13" s="5">
        <v>1041</v>
      </c>
      <c r="B13" s="4">
        <v>46043</v>
      </c>
      <c r="C13" s="3" t="s">
        <v>13</v>
      </c>
      <c r="D13" s="3" t="s">
        <v>26</v>
      </c>
      <c r="E13" s="3" t="s">
        <v>78</v>
      </c>
      <c r="F13" s="3" t="s">
        <v>16</v>
      </c>
      <c r="G13" s="3" t="s">
        <v>17</v>
      </c>
      <c r="H13" s="3">
        <v>1</v>
      </c>
      <c r="I13" s="3">
        <v>56000</v>
      </c>
      <c r="J13" s="3" t="s">
        <v>18</v>
      </c>
      <c r="K13" s="3">
        <v>2500</v>
      </c>
      <c r="L13" s="6" t="s">
        <v>19</v>
      </c>
      <c r="M13" s="3">
        <f>Table13[[#This Row],[Quantity]]*Table13[[#This Row],[Unit_Price]]</f>
        <v>56000</v>
      </c>
    </row>
    <row r="14" spans="1:13" hidden="1">
      <c r="A14" s="5">
        <v>1006</v>
      </c>
      <c r="B14" s="4">
        <v>46025</v>
      </c>
      <c r="C14" s="3" t="s">
        <v>13</v>
      </c>
      <c r="D14" s="3" t="s">
        <v>14</v>
      </c>
      <c r="E14" s="3" t="s">
        <v>41</v>
      </c>
      <c r="F14" s="3" t="s">
        <v>16</v>
      </c>
      <c r="G14" s="3" t="s">
        <v>17</v>
      </c>
      <c r="H14" s="3">
        <v>1</v>
      </c>
      <c r="I14" s="3">
        <v>55000</v>
      </c>
      <c r="J14" s="3" t="s">
        <v>18</v>
      </c>
      <c r="K14" s="3">
        <v>2500</v>
      </c>
      <c r="L14" s="6" t="s">
        <v>19</v>
      </c>
      <c r="M14" s="3">
        <f>Table13[[#This Row],[Quantity]]*Table13[[#This Row],[Unit_Price]]</f>
        <v>55000</v>
      </c>
    </row>
    <row r="15" spans="1:13" hidden="1">
      <c r="A15" s="5">
        <v>1025</v>
      </c>
      <c r="B15" s="4">
        <v>46035</v>
      </c>
      <c r="C15" s="3" t="s">
        <v>13</v>
      </c>
      <c r="D15" s="3" t="s">
        <v>26</v>
      </c>
      <c r="E15" s="3" t="s">
        <v>63</v>
      </c>
      <c r="F15" s="3" t="s">
        <v>16</v>
      </c>
      <c r="G15" s="3" t="s">
        <v>17</v>
      </c>
      <c r="H15" s="3">
        <v>1</v>
      </c>
      <c r="I15" s="3">
        <v>53000</v>
      </c>
      <c r="J15" s="3" t="s">
        <v>18</v>
      </c>
      <c r="K15" s="3">
        <v>2100</v>
      </c>
      <c r="L15" s="6" t="s">
        <v>19</v>
      </c>
      <c r="M15" s="3">
        <f>Table13[[#This Row],[Quantity]]*Table13[[#This Row],[Unit_Price]]</f>
        <v>53000</v>
      </c>
    </row>
    <row r="16" spans="1:13" hidden="1">
      <c r="A16" s="5">
        <v>1046</v>
      </c>
      <c r="B16" s="4">
        <v>46045</v>
      </c>
      <c r="C16" s="3" t="s">
        <v>31</v>
      </c>
      <c r="D16" s="3" t="s">
        <v>32</v>
      </c>
      <c r="E16" s="3" t="s">
        <v>80</v>
      </c>
      <c r="F16" s="3" t="s">
        <v>16</v>
      </c>
      <c r="G16" s="3" t="s">
        <v>17</v>
      </c>
      <c r="H16" s="3">
        <v>1</v>
      </c>
      <c r="I16" s="3">
        <v>52000</v>
      </c>
      <c r="J16" s="3" t="s">
        <v>18</v>
      </c>
      <c r="K16" s="3">
        <v>2200</v>
      </c>
      <c r="L16" s="6" t="s">
        <v>30</v>
      </c>
      <c r="M16" s="3">
        <f>Table13[[#This Row],[Quantity]]*Table13[[#This Row],[Unit_Price]]</f>
        <v>52000</v>
      </c>
    </row>
    <row r="17" spans="1:13" hidden="1">
      <c r="A17" s="5">
        <v>1031</v>
      </c>
      <c r="B17" s="4">
        <v>46038</v>
      </c>
      <c r="C17" s="3" t="s">
        <v>36</v>
      </c>
      <c r="D17" s="3" t="s">
        <v>37</v>
      </c>
      <c r="E17" s="3" t="s">
        <v>69</v>
      </c>
      <c r="F17" s="3" t="s">
        <v>16</v>
      </c>
      <c r="G17" s="3" t="s">
        <v>17</v>
      </c>
      <c r="H17" s="3">
        <v>1</v>
      </c>
      <c r="I17" s="3">
        <v>51000</v>
      </c>
      <c r="J17" s="3" t="s">
        <v>18</v>
      </c>
      <c r="K17" s="3">
        <v>2000</v>
      </c>
      <c r="L17" s="6" t="s">
        <v>40</v>
      </c>
      <c r="M17" s="3">
        <f>Table13[[#This Row],[Quantity]]*Table13[[#This Row],[Unit_Price]]</f>
        <v>51000</v>
      </c>
    </row>
    <row r="18" spans="1:13" hidden="1">
      <c r="A18" s="5">
        <v>1001</v>
      </c>
      <c r="B18" s="4">
        <v>46023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>
        <v>1</v>
      </c>
      <c r="I18" s="3">
        <v>50000</v>
      </c>
      <c r="J18" s="3" t="s">
        <v>18</v>
      </c>
      <c r="K18" s="3">
        <v>2000</v>
      </c>
      <c r="L18" s="6" t="s">
        <v>19</v>
      </c>
      <c r="M18" s="3">
        <f>Table13[[#This Row],[Quantity]]*Table13[[#This Row],[Unit_Price]]</f>
        <v>50000</v>
      </c>
    </row>
    <row r="19" spans="1:13" hidden="1">
      <c r="A19" s="5">
        <v>1029</v>
      </c>
      <c r="B19" s="4">
        <v>46037</v>
      </c>
      <c r="C19" s="3" t="s">
        <v>13</v>
      </c>
      <c r="D19" s="3" t="s">
        <v>14</v>
      </c>
      <c r="E19" s="3" t="s">
        <v>67</v>
      </c>
      <c r="F19" s="3" t="s">
        <v>23</v>
      </c>
      <c r="G19" s="3" t="s">
        <v>17</v>
      </c>
      <c r="H19" s="3">
        <v>2</v>
      </c>
      <c r="I19" s="3">
        <v>22000</v>
      </c>
      <c r="J19" s="3" t="s">
        <v>18</v>
      </c>
      <c r="K19" s="3">
        <v>1700</v>
      </c>
      <c r="L19" s="6" t="s">
        <v>19</v>
      </c>
      <c r="M19" s="3">
        <f>Table13[[#This Row],[Quantity]]*Table13[[#This Row],[Unit_Price]]</f>
        <v>44000</v>
      </c>
    </row>
    <row r="20" spans="1:13" hidden="1">
      <c r="A20" s="5">
        <v>1013</v>
      </c>
      <c r="B20" s="4">
        <v>46029</v>
      </c>
      <c r="C20" s="3" t="s">
        <v>13</v>
      </c>
      <c r="D20" s="3" t="s">
        <v>26</v>
      </c>
      <c r="E20" s="3" t="s">
        <v>51</v>
      </c>
      <c r="F20" s="3" t="s">
        <v>23</v>
      </c>
      <c r="G20" s="3" t="s">
        <v>17</v>
      </c>
      <c r="H20" s="3">
        <v>2</v>
      </c>
      <c r="I20" s="3">
        <v>21000</v>
      </c>
      <c r="J20" s="3" t="s">
        <v>18</v>
      </c>
      <c r="K20" s="3">
        <v>1800</v>
      </c>
      <c r="L20" s="6" t="s">
        <v>19</v>
      </c>
      <c r="M20" s="3">
        <f>Table13[[#This Row],[Quantity]]*Table13[[#This Row],[Unit_Price]]</f>
        <v>42000</v>
      </c>
    </row>
    <row r="21" spans="1:13" hidden="1">
      <c r="A21" s="5">
        <v>1039</v>
      </c>
      <c r="B21" s="4">
        <v>46042</v>
      </c>
      <c r="C21" s="3" t="s">
        <v>36</v>
      </c>
      <c r="D21" s="3" t="s">
        <v>37</v>
      </c>
      <c r="E21" s="3" t="s">
        <v>77</v>
      </c>
      <c r="F21" s="3" t="s">
        <v>23</v>
      </c>
      <c r="G21" s="3" t="s">
        <v>17</v>
      </c>
      <c r="H21" s="3">
        <v>2</v>
      </c>
      <c r="I21" s="3">
        <v>18000</v>
      </c>
      <c r="J21" s="3" t="s">
        <v>18</v>
      </c>
      <c r="K21" s="3">
        <v>1200</v>
      </c>
      <c r="L21" s="6" t="s">
        <v>40</v>
      </c>
      <c r="M21" s="3">
        <f>Table13[[#This Row],[Quantity]]*Table13[[#This Row],[Unit_Price]]</f>
        <v>36000</v>
      </c>
    </row>
    <row r="22" spans="1:13" hidden="1">
      <c r="A22" s="5">
        <v>1021</v>
      </c>
      <c r="B22" s="4">
        <v>46033</v>
      </c>
      <c r="C22" s="3" t="s">
        <v>31</v>
      </c>
      <c r="D22" s="3" t="s">
        <v>32</v>
      </c>
      <c r="E22" s="3" t="s">
        <v>59</v>
      </c>
      <c r="F22" s="3" t="s">
        <v>47</v>
      </c>
      <c r="G22" s="3" t="s">
        <v>17</v>
      </c>
      <c r="H22" s="3">
        <v>1</v>
      </c>
      <c r="I22" s="3">
        <v>32000</v>
      </c>
      <c r="J22" s="3" t="s">
        <v>18</v>
      </c>
      <c r="K22" s="3">
        <v>1600</v>
      </c>
      <c r="L22" s="6" t="s">
        <v>19</v>
      </c>
      <c r="M22" s="3">
        <f>Table13[[#This Row],[Quantity]]*Table13[[#This Row],[Unit_Price]]</f>
        <v>32000</v>
      </c>
    </row>
    <row r="23" spans="1:13" hidden="1">
      <c r="A23" s="5">
        <v>1037</v>
      </c>
      <c r="B23" s="4">
        <v>46041</v>
      </c>
      <c r="C23" s="3" t="s">
        <v>13</v>
      </c>
      <c r="D23" s="3" t="s">
        <v>14</v>
      </c>
      <c r="E23" s="3" t="s">
        <v>75</v>
      </c>
      <c r="F23" s="3" t="s">
        <v>47</v>
      </c>
      <c r="G23" s="3" t="s">
        <v>17</v>
      </c>
      <c r="H23" s="3">
        <v>1</v>
      </c>
      <c r="I23" s="3">
        <v>30000</v>
      </c>
      <c r="J23" s="3" t="s">
        <v>18</v>
      </c>
      <c r="K23" s="3">
        <v>1500</v>
      </c>
      <c r="L23" s="6" t="s">
        <v>19</v>
      </c>
      <c r="M23" s="3">
        <f>Table13[[#This Row],[Quantity]]*Table13[[#This Row],[Unit_Price]]</f>
        <v>30000</v>
      </c>
    </row>
    <row r="24" spans="1:13" hidden="1">
      <c r="A24" s="5">
        <v>1009</v>
      </c>
      <c r="B24" s="4">
        <v>46027</v>
      </c>
      <c r="C24" s="3" t="s">
        <v>13</v>
      </c>
      <c r="D24" s="3" t="s">
        <v>14</v>
      </c>
      <c r="E24" s="3" t="s">
        <v>46</v>
      </c>
      <c r="F24" s="3" t="s">
        <v>47</v>
      </c>
      <c r="G24" s="3" t="s">
        <v>17</v>
      </c>
      <c r="H24" s="3">
        <v>1</v>
      </c>
      <c r="I24" s="3">
        <v>30000</v>
      </c>
      <c r="J24" s="3" t="s">
        <v>18</v>
      </c>
      <c r="K24" s="3">
        <v>1500</v>
      </c>
      <c r="L24" s="6" t="s">
        <v>19</v>
      </c>
      <c r="M24" s="3">
        <f>Table13[[#This Row],[Quantity]]*Table13[[#This Row],[Unit_Price]]</f>
        <v>30000</v>
      </c>
    </row>
    <row r="25" spans="1:13" hidden="1">
      <c r="A25" s="5">
        <v>1027</v>
      </c>
      <c r="B25" s="4">
        <v>46036</v>
      </c>
      <c r="C25" s="3" t="s">
        <v>36</v>
      </c>
      <c r="D25" s="3" t="s">
        <v>37</v>
      </c>
      <c r="E25" s="3" t="s">
        <v>65</v>
      </c>
      <c r="F25" s="3" t="s">
        <v>47</v>
      </c>
      <c r="G25" s="3" t="s">
        <v>17</v>
      </c>
      <c r="H25" s="3">
        <v>1</v>
      </c>
      <c r="I25" s="3">
        <v>29000</v>
      </c>
      <c r="J25" s="3" t="s">
        <v>18</v>
      </c>
      <c r="K25" s="3">
        <v>1200</v>
      </c>
      <c r="L25" s="6" t="s">
        <v>40</v>
      </c>
      <c r="M25" s="3">
        <f>Table13[[#This Row],[Quantity]]*Table13[[#This Row],[Unit_Price]]</f>
        <v>29000</v>
      </c>
    </row>
    <row r="26" spans="1:13" hidden="1">
      <c r="A26" s="5">
        <v>1043</v>
      </c>
      <c r="B26" s="4">
        <v>46044</v>
      </c>
      <c r="C26" s="3" t="s">
        <v>36</v>
      </c>
      <c r="D26" s="3" t="s">
        <v>37</v>
      </c>
      <c r="E26" s="3" t="s">
        <v>52</v>
      </c>
      <c r="F26" s="3" t="s">
        <v>47</v>
      </c>
      <c r="G26" s="3" t="s">
        <v>17</v>
      </c>
      <c r="H26" s="3">
        <v>1</v>
      </c>
      <c r="I26" s="3">
        <v>28000</v>
      </c>
      <c r="J26" s="3" t="s">
        <v>18</v>
      </c>
      <c r="K26" s="3">
        <v>1000</v>
      </c>
      <c r="L26" s="6" t="s">
        <v>40</v>
      </c>
      <c r="M26" s="3">
        <f>Table13[[#This Row],[Quantity]]*Table13[[#This Row],[Unit_Price]]</f>
        <v>28000</v>
      </c>
    </row>
    <row r="27" spans="1:13" hidden="1">
      <c r="A27" s="5">
        <v>1034</v>
      </c>
      <c r="B27" s="4">
        <v>46039</v>
      </c>
      <c r="C27" s="3" t="s">
        <v>31</v>
      </c>
      <c r="D27" s="3" t="s">
        <v>43</v>
      </c>
      <c r="E27" s="3" t="s">
        <v>72</v>
      </c>
      <c r="F27" s="3" t="s">
        <v>23</v>
      </c>
      <c r="G27" s="3" t="s">
        <v>17</v>
      </c>
      <c r="H27" s="3">
        <v>1</v>
      </c>
      <c r="I27" s="3">
        <v>20000</v>
      </c>
      <c r="J27" s="3" t="s">
        <v>18</v>
      </c>
      <c r="K27" s="3">
        <v>1000</v>
      </c>
      <c r="L27" s="6" t="s">
        <v>30</v>
      </c>
      <c r="M27" s="3">
        <f>Table13[[#This Row],[Quantity]]*Table13[[#This Row],[Unit_Price]]</f>
        <v>20000</v>
      </c>
    </row>
    <row r="28" spans="1:13" hidden="1">
      <c r="A28" s="5">
        <v>1049</v>
      </c>
      <c r="B28" s="4">
        <v>46047</v>
      </c>
      <c r="C28" s="3" t="s">
        <v>13</v>
      </c>
      <c r="D28" s="3" t="s">
        <v>26</v>
      </c>
      <c r="E28" s="3" t="s">
        <v>57</v>
      </c>
      <c r="F28" s="3" t="s">
        <v>23</v>
      </c>
      <c r="G28" s="3" t="s">
        <v>17</v>
      </c>
      <c r="H28" s="3">
        <v>1</v>
      </c>
      <c r="I28" s="3">
        <v>19000</v>
      </c>
      <c r="J28" s="3" t="s">
        <v>18</v>
      </c>
      <c r="K28" s="3">
        <v>900</v>
      </c>
      <c r="L28" s="6" t="s">
        <v>19</v>
      </c>
      <c r="M28" s="3">
        <f>Table13[[#This Row],[Quantity]]*Table13[[#This Row],[Unit_Price]]</f>
        <v>19000</v>
      </c>
    </row>
    <row r="29" spans="1:13" hidden="1">
      <c r="A29" s="5">
        <v>1018</v>
      </c>
      <c r="B29" s="4">
        <v>46031</v>
      </c>
      <c r="C29" s="3" t="s">
        <v>36</v>
      </c>
      <c r="D29" s="3" t="s">
        <v>37</v>
      </c>
      <c r="E29" s="3" t="s">
        <v>56</v>
      </c>
      <c r="F29" s="3" t="s">
        <v>23</v>
      </c>
      <c r="G29" s="3" t="s">
        <v>17</v>
      </c>
      <c r="H29" s="3">
        <v>1</v>
      </c>
      <c r="I29" s="3">
        <v>17000</v>
      </c>
      <c r="J29" s="3" t="s">
        <v>18</v>
      </c>
      <c r="K29" s="3">
        <v>900</v>
      </c>
      <c r="L29" s="6" t="s">
        <v>40</v>
      </c>
      <c r="M29" s="3">
        <f>Table13[[#This Row],[Quantity]]*Table13[[#This Row],[Unit_Price]]</f>
        <v>17000</v>
      </c>
    </row>
    <row r="30" spans="1:13" hidden="1">
      <c r="A30" s="5">
        <v>1026</v>
      </c>
      <c r="B30" s="4">
        <v>46035</v>
      </c>
      <c r="C30" s="3" t="s">
        <v>31</v>
      </c>
      <c r="D30" s="3" t="s">
        <v>43</v>
      </c>
      <c r="E30" s="3" t="s">
        <v>64</v>
      </c>
      <c r="F30" s="3" t="s">
        <v>34</v>
      </c>
      <c r="G30" s="3" t="s">
        <v>29</v>
      </c>
      <c r="H30" s="3">
        <v>2</v>
      </c>
      <c r="I30" s="3">
        <v>8500</v>
      </c>
      <c r="J30" s="3" t="s">
        <v>18</v>
      </c>
      <c r="K30" s="3">
        <v>800</v>
      </c>
      <c r="L30" s="6" t="s">
        <v>30</v>
      </c>
      <c r="M30" s="3">
        <f>Table13[[#This Row],[Quantity]]*Table13[[#This Row],[Unit_Price]]</f>
        <v>17000</v>
      </c>
    </row>
    <row r="31" spans="1:13" hidden="1">
      <c r="A31" s="5">
        <v>1050</v>
      </c>
      <c r="B31" s="4">
        <v>46047</v>
      </c>
      <c r="C31" s="3" t="s">
        <v>31</v>
      </c>
      <c r="D31" s="3" t="s">
        <v>43</v>
      </c>
      <c r="E31" s="3" t="s">
        <v>15</v>
      </c>
      <c r="F31" s="3" t="s">
        <v>45</v>
      </c>
      <c r="G31" s="3" t="s">
        <v>29</v>
      </c>
      <c r="H31" s="3">
        <v>1</v>
      </c>
      <c r="I31" s="3">
        <v>15000</v>
      </c>
      <c r="J31" s="3" t="s">
        <v>18</v>
      </c>
      <c r="K31" s="3">
        <v>800</v>
      </c>
      <c r="L31" s="6" t="s">
        <v>30</v>
      </c>
      <c r="M31" s="3">
        <f>Table13[[#This Row],[Quantity]]*Table13[[#This Row],[Unit_Price]]</f>
        <v>15000</v>
      </c>
    </row>
    <row r="32" spans="1:13" hidden="1">
      <c r="A32" s="5">
        <v>1038</v>
      </c>
      <c r="B32" s="4">
        <v>46041</v>
      </c>
      <c r="C32" s="3" t="s">
        <v>31</v>
      </c>
      <c r="D32" s="3" t="s">
        <v>32</v>
      </c>
      <c r="E32" s="3" t="s">
        <v>76</v>
      </c>
      <c r="F32" s="3" t="s">
        <v>45</v>
      </c>
      <c r="G32" s="3" t="s">
        <v>29</v>
      </c>
      <c r="H32" s="3">
        <v>1</v>
      </c>
      <c r="I32" s="3">
        <v>15000</v>
      </c>
      <c r="J32" s="3" t="s">
        <v>18</v>
      </c>
      <c r="K32" s="3">
        <v>800</v>
      </c>
      <c r="L32" s="6" t="s">
        <v>30</v>
      </c>
      <c r="M32" s="3">
        <f>Table13[[#This Row],[Quantity]]*Table13[[#This Row],[Unit_Price]]</f>
        <v>15000</v>
      </c>
    </row>
    <row r="33" spans="1:21" hidden="1">
      <c r="A33" s="5">
        <v>1010</v>
      </c>
      <c r="B33" s="4">
        <v>46027</v>
      </c>
      <c r="C33" s="3" t="s">
        <v>36</v>
      </c>
      <c r="D33" s="3" t="s">
        <v>37</v>
      </c>
      <c r="E33" s="3" t="s">
        <v>48</v>
      </c>
      <c r="F33" s="3" t="s">
        <v>34</v>
      </c>
      <c r="G33" s="3" t="s">
        <v>29</v>
      </c>
      <c r="H33" s="3">
        <v>2</v>
      </c>
      <c r="I33" s="3">
        <v>7000</v>
      </c>
      <c r="J33" s="3" t="s">
        <v>18</v>
      </c>
      <c r="K33" s="3">
        <v>600</v>
      </c>
      <c r="L33" s="6" t="s">
        <v>40</v>
      </c>
      <c r="M33" s="3">
        <f>Table13[[#This Row],[Quantity]]*Table13[[#This Row],[Unit_Price]]</f>
        <v>14000</v>
      </c>
    </row>
    <row r="34" spans="1:21" hidden="1">
      <c r="A34" s="5">
        <v>1045</v>
      </c>
      <c r="B34" s="4">
        <v>46045</v>
      </c>
      <c r="C34" s="3" t="s">
        <v>13</v>
      </c>
      <c r="D34" s="3" t="s">
        <v>14</v>
      </c>
      <c r="E34" s="3" t="s">
        <v>79</v>
      </c>
      <c r="F34" s="3" t="s">
        <v>45</v>
      </c>
      <c r="G34" s="3" t="s">
        <v>29</v>
      </c>
      <c r="H34" s="3">
        <v>1</v>
      </c>
      <c r="I34" s="3">
        <v>14000</v>
      </c>
      <c r="J34" s="3" t="s">
        <v>18</v>
      </c>
      <c r="K34" s="3">
        <v>700</v>
      </c>
      <c r="L34" s="6" t="s">
        <v>19</v>
      </c>
      <c r="M34" s="3">
        <f>Table13[[#This Row],[Quantity]]*Table13[[#This Row],[Unit_Price]]</f>
        <v>14000</v>
      </c>
    </row>
    <row r="35" spans="1:21" hidden="1">
      <c r="A35" s="5">
        <v>1022</v>
      </c>
      <c r="B35" s="4">
        <v>46033</v>
      </c>
      <c r="C35" s="3" t="s">
        <v>13</v>
      </c>
      <c r="D35" s="3" t="s">
        <v>14</v>
      </c>
      <c r="E35" s="3" t="s">
        <v>60</v>
      </c>
      <c r="F35" s="3" t="s">
        <v>45</v>
      </c>
      <c r="G35" s="3" t="s">
        <v>29</v>
      </c>
      <c r="H35" s="3">
        <v>1</v>
      </c>
      <c r="I35" s="3">
        <v>14000</v>
      </c>
      <c r="J35" s="3" t="s">
        <v>18</v>
      </c>
      <c r="K35" s="3">
        <v>700</v>
      </c>
      <c r="L35" s="6" t="s">
        <v>30</v>
      </c>
      <c r="M35" s="3">
        <f>Table13[[#This Row],[Quantity]]*Table13[[#This Row],[Unit_Price]]</f>
        <v>14000</v>
      </c>
    </row>
    <row r="36" spans="1:21" hidden="1">
      <c r="A36" s="5">
        <v>1033</v>
      </c>
      <c r="B36" s="4">
        <v>46039</v>
      </c>
      <c r="C36" s="3" t="s">
        <v>13</v>
      </c>
      <c r="D36" s="3" t="s">
        <v>26</v>
      </c>
      <c r="E36" s="3" t="s">
        <v>71</v>
      </c>
      <c r="F36" s="3" t="s">
        <v>45</v>
      </c>
      <c r="G36" s="3" t="s">
        <v>29</v>
      </c>
      <c r="H36" s="3">
        <v>1</v>
      </c>
      <c r="I36" s="3">
        <v>13000</v>
      </c>
      <c r="J36" s="3" t="s">
        <v>18</v>
      </c>
      <c r="K36" s="3">
        <v>700</v>
      </c>
      <c r="L36" s="6" t="s">
        <v>19</v>
      </c>
      <c r="M36" s="3">
        <f>Table13[[#This Row],[Quantity]]*Table13[[#This Row],[Unit_Price]]</f>
        <v>13000</v>
      </c>
    </row>
    <row r="37" spans="1:21" hidden="1">
      <c r="A37" s="5">
        <v>1008</v>
      </c>
      <c r="B37" s="4">
        <v>46026</v>
      </c>
      <c r="C37" s="3" t="s">
        <v>31</v>
      </c>
      <c r="D37" s="3" t="s">
        <v>43</v>
      </c>
      <c r="E37" s="3" t="s">
        <v>44</v>
      </c>
      <c r="F37" s="3" t="s">
        <v>45</v>
      </c>
      <c r="G37" s="3" t="s">
        <v>29</v>
      </c>
      <c r="H37" s="3">
        <v>1</v>
      </c>
      <c r="I37" s="3">
        <v>12000</v>
      </c>
      <c r="J37" s="3" t="s">
        <v>18</v>
      </c>
      <c r="K37" s="3">
        <v>800</v>
      </c>
      <c r="L37" s="6" t="s">
        <v>30</v>
      </c>
      <c r="M37" s="3">
        <f>Table13[[#This Row],[Quantity]]*Table13[[#This Row],[Unit_Price]]</f>
        <v>12000</v>
      </c>
    </row>
    <row r="38" spans="1:21" hidden="1">
      <c r="A38" s="5">
        <v>1019</v>
      </c>
      <c r="B38" s="4">
        <v>46032</v>
      </c>
      <c r="C38" s="3" t="s">
        <v>13</v>
      </c>
      <c r="D38" s="3" t="s">
        <v>26</v>
      </c>
      <c r="E38" s="3" t="s">
        <v>57</v>
      </c>
      <c r="F38" s="3" t="s">
        <v>34</v>
      </c>
      <c r="G38" s="3" t="s">
        <v>29</v>
      </c>
      <c r="H38" s="3">
        <v>1</v>
      </c>
      <c r="I38" s="3">
        <v>9000</v>
      </c>
      <c r="J38" s="3" t="s">
        <v>18</v>
      </c>
      <c r="K38" s="3">
        <v>400</v>
      </c>
      <c r="L38" s="6" t="s">
        <v>19</v>
      </c>
      <c r="M38" s="3">
        <f>Table13[[#This Row],[Quantity]]*Table13[[#This Row],[Unit_Price]]</f>
        <v>9000</v>
      </c>
    </row>
    <row r="39" spans="1:21" hidden="1">
      <c r="A39" s="5">
        <v>1017</v>
      </c>
      <c r="B39" s="4">
        <v>46031</v>
      </c>
      <c r="C39" s="3" t="s">
        <v>31</v>
      </c>
      <c r="D39" s="3" t="s">
        <v>43</v>
      </c>
      <c r="E39" s="3" t="s">
        <v>55</v>
      </c>
      <c r="F39" s="3" t="s">
        <v>28</v>
      </c>
      <c r="G39" s="3" t="s">
        <v>29</v>
      </c>
      <c r="H39" s="3">
        <v>5</v>
      </c>
      <c r="I39" s="3">
        <v>1400</v>
      </c>
      <c r="J39" s="3" t="s">
        <v>18</v>
      </c>
      <c r="K39" s="3">
        <v>500</v>
      </c>
      <c r="L39" s="6" t="s">
        <v>30</v>
      </c>
      <c r="M39" s="3">
        <f>Table13[[#This Row],[Quantity]]*Table13[[#This Row],[Unit_Price]]</f>
        <v>7000</v>
      </c>
    </row>
    <row r="40" spans="1:21" hidden="1">
      <c r="A40" s="5">
        <v>1005</v>
      </c>
      <c r="B40" s="4">
        <v>46025</v>
      </c>
      <c r="C40" s="3" t="s">
        <v>36</v>
      </c>
      <c r="D40" s="3" t="s">
        <v>37</v>
      </c>
      <c r="E40" s="3" t="s">
        <v>38</v>
      </c>
      <c r="F40" s="3" t="s">
        <v>39</v>
      </c>
      <c r="G40" s="3" t="s">
        <v>17</v>
      </c>
      <c r="H40" s="3">
        <v>3</v>
      </c>
      <c r="I40" s="3">
        <v>2000</v>
      </c>
      <c r="J40" s="3" t="s">
        <v>18</v>
      </c>
      <c r="K40" s="3">
        <v>200</v>
      </c>
      <c r="L40" s="6" t="s">
        <v>40</v>
      </c>
      <c r="M40" s="3">
        <f>Table13[[#This Row],[Quantity]]*Table13[[#This Row],[Unit_Price]]</f>
        <v>6000</v>
      </c>
    </row>
    <row r="41" spans="1:21" hidden="1">
      <c r="A41" s="5">
        <v>1003</v>
      </c>
      <c r="B41" s="4">
        <v>46024</v>
      </c>
      <c r="C41" s="3" t="s">
        <v>13</v>
      </c>
      <c r="D41" s="3" t="s">
        <v>26</v>
      </c>
      <c r="E41" s="3" t="s">
        <v>27</v>
      </c>
      <c r="F41" s="3" t="s">
        <v>28</v>
      </c>
      <c r="G41" s="3" t="s">
        <v>29</v>
      </c>
      <c r="H41" s="3">
        <v>4</v>
      </c>
      <c r="I41" s="3">
        <v>1500</v>
      </c>
      <c r="J41" s="3" t="s">
        <v>18</v>
      </c>
      <c r="K41" s="3">
        <v>500</v>
      </c>
      <c r="L41" s="6" t="s">
        <v>30</v>
      </c>
      <c r="M41" s="3">
        <f>Table13[[#This Row],[Quantity]]*Table13[[#This Row],[Unit_Price]]</f>
        <v>6000</v>
      </c>
    </row>
    <row r="42" spans="1:21" hidden="1">
      <c r="A42" s="5">
        <v>1035</v>
      </c>
      <c r="B42" s="4">
        <v>46040</v>
      </c>
      <c r="C42" s="3" t="s">
        <v>36</v>
      </c>
      <c r="D42" s="3" t="s">
        <v>37</v>
      </c>
      <c r="E42" s="3" t="s">
        <v>73</v>
      </c>
      <c r="F42" s="3" t="s">
        <v>28</v>
      </c>
      <c r="G42" s="3" t="s">
        <v>29</v>
      </c>
      <c r="H42" s="3">
        <v>4</v>
      </c>
      <c r="I42" s="3">
        <v>1400</v>
      </c>
      <c r="J42" s="3" t="s">
        <v>18</v>
      </c>
      <c r="K42" s="3">
        <v>400</v>
      </c>
      <c r="L42" s="6" t="s">
        <v>40</v>
      </c>
      <c r="M42" s="3">
        <f>Table13[[#This Row],[Quantity]]*Table13[[#This Row],[Unit_Price]]</f>
        <v>5600</v>
      </c>
    </row>
    <row r="43" spans="1:21" hidden="1">
      <c r="A43" s="5">
        <v>1042</v>
      </c>
      <c r="B43" s="4">
        <v>46043</v>
      </c>
      <c r="C43" s="3" t="s">
        <v>31</v>
      </c>
      <c r="D43" s="3" t="s">
        <v>43</v>
      </c>
      <c r="E43" s="3" t="s">
        <v>51</v>
      </c>
      <c r="F43" s="3" t="s">
        <v>28</v>
      </c>
      <c r="G43" s="3" t="s">
        <v>29</v>
      </c>
      <c r="H43" s="3">
        <v>3</v>
      </c>
      <c r="I43" s="3">
        <v>1500</v>
      </c>
      <c r="J43" s="3" t="s">
        <v>18</v>
      </c>
      <c r="K43" s="3">
        <v>300</v>
      </c>
      <c r="L43" s="6" t="s">
        <v>30</v>
      </c>
      <c r="M43" s="3">
        <f>Table13[[#This Row],[Quantity]]*Table13[[#This Row],[Unit_Price]]</f>
        <v>4500</v>
      </c>
    </row>
    <row r="44" spans="1:21" hidden="1">
      <c r="A44" s="5">
        <v>1030</v>
      </c>
      <c r="B44" s="4">
        <v>46037</v>
      </c>
      <c r="C44" s="3" t="s">
        <v>31</v>
      </c>
      <c r="D44" s="3" t="s">
        <v>32</v>
      </c>
      <c r="E44" s="3" t="s">
        <v>68</v>
      </c>
      <c r="F44" s="3" t="s">
        <v>28</v>
      </c>
      <c r="G44" s="3" t="s">
        <v>29</v>
      </c>
      <c r="H44" s="3">
        <v>3</v>
      </c>
      <c r="I44" s="3">
        <v>1500</v>
      </c>
      <c r="J44" s="3" t="s">
        <v>18</v>
      </c>
      <c r="K44" s="3">
        <v>300</v>
      </c>
      <c r="L44" s="6" t="s">
        <v>30</v>
      </c>
      <c r="M44" s="3">
        <f>Table13[[#This Row],[Quantity]]*Table13[[#This Row],[Unit_Price]]</f>
        <v>4500</v>
      </c>
    </row>
    <row r="45" spans="1:21" hidden="1">
      <c r="A45" s="5">
        <v>1012</v>
      </c>
      <c r="B45" s="4">
        <v>46028</v>
      </c>
      <c r="C45" s="3" t="s">
        <v>31</v>
      </c>
      <c r="D45" s="3" t="s">
        <v>32</v>
      </c>
      <c r="E45" s="3" t="s">
        <v>50</v>
      </c>
      <c r="F45" s="3" t="s">
        <v>28</v>
      </c>
      <c r="G45" s="3" t="s">
        <v>29</v>
      </c>
      <c r="H45" s="3">
        <v>3</v>
      </c>
      <c r="I45" s="3">
        <v>1500</v>
      </c>
      <c r="J45" s="3" t="s">
        <v>18</v>
      </c>
      <c r="K45" s="3">
        <v>300</v>
      </c>
      <c r="L45" s="6" t="s">
        <v>30</v>
      </c>
      <c r="M45" s="3">
        <f>Table13[[#This Row],[Quantity]]*Table13[[#This Row],[Unit_Price]]</f>
        <v>4500</v>
      </c>
    </row>
    <row r="46" spans="1:21" hidden="1">
      <c r="A46" s="5">
        <v>1047</v>
      </c>
      <c r="B46" s="4">
        <v>46046</v>
      </c>
      <c r="C46" s="3" t="s">
        <v>36</v>
      </c>
      <c r="D46" s="3" t="s">
        <v>37</v>
      </c>
      <c r="E46" s="3" t="s">
        <v>59</v>
      </c>
      <c r="F46" s="3" t="s">
        <v>28</v>
      </c>
      <c r="G46" s="3" t="s">
        <v>29</v>
      </c>
      <c r="H46" s="3">
        <v>2</v>
      </c>
      <c r="I46" s="3">
        <v>1600</v>
      </c>
      <c r="J46" s="3" t="s">
        <v>18</v>
      </c>
      <c r="K46" s="3">
        <v>200</v>
      </c>
      <c r="L46" s="6" t="s">
        <v>40</v>
      </c>
      <c r="M46" s="3">
        <f>Table13[[#This Row],[Quantity]]*Table13[[#This Row],[Unit_Price]]</f>
        <v>3200</v>
      </c>
    </row>
    <row r="47" spans="1:21" hidden="1">
      <c r="A47" s="5">
        <v>1023</v>
      </c>
      <c r="B47" s="4">
        <v>46034</v>
      </c>
      <c r="C47" s="3" t="s">
        <v>36</v>
      </c>
      <c r="D47" s="3" t="s">
        <v>37</v>
      </c>
      <c r="E47" s="3" t="s">
        <v>61</v>
      </c>
      <c r="F47" s="3" t="s">
        <v>28</v>
      </c>
      <c r="G47" s="3" t="s">
        <v>29</v>
      </c>
      <c r="H47" s="3">
        <v>2</v>
      </c>
      <c r="I47" s="3">
        <v>1600</v>
      </c>
      <c r="J47" s="3" t="s">
        <v>18</v>
      </c>
      <c r="K47" s="3">
        <v>200</v>
      </c>
      <c r="L47" s="6" t="s">
        <v>40</v>
      </c>
      <c r="M47" s="3">
        <f>Table13[[#This Row],[Quantity]]*Table13[[#This Row],[Unit_Price]]</f>
        <v>3200</v>
      </c>
    </row>
    <row r="48" spans="1:21">
      <c r="A48" s="5">
        <v>1020</v>
      </c>
      <c r="B48" s="4">
        <v>46032</v>
      </c>
      <c r="C48" s="3" t="s">
        <v>20</v>
      </c>
      <c r="D48" s="3" t="s">
        <v>21</v>
      </c>
      <c r="E48" s="3" t="s">
        <v>58</v>
      </c>
      <c r="F48" s="3" t="s">
        <v>16</v>
      </c>
      <c r="G48" s="3" t="s">
        <v>17</v>
      </c>
      <c r="H48" s="3">
        <v>1</v>
      </c>
      <c r="I48" s="3">
        <v>58000</v>
      </c>
      <c r="J48" s="3" t="s">
        <v>24</v>
      </c>
      <c r="K48" s="3">
        <v>2500</v>
      </c>
      <c r="L48" s="6" t="s">
        <v>25</v>
      </c>
      <c r="M48" s="3">
        <f>Table13[[#This Row],[Quantity]]*Table13[[#This Row],[Unit_Price]]</f>
        <v>58000</v>
      </c>
      <c r="O48" t="s">
        <v>96</v>
      </c>
      <c r="Q48">
        <v>10</v>
      </c>
      <c r="S48" t="s">
        <v>121</v>
      </c>
      <c r="U48">
        <v>57</v>
      </c>
    </row>
    <row r="49" spans="1:19">
      <c r="A49" s="5">
        <v>1024</v>
      </c>
      <c r="B49" s="4">
        <v>46034</v>
      </c>
      <c r="C49" s="3" t="s">
        <v>20</v>
      </c>
      <c r="D49" s="3" t="s">
        <v>21</v>
      </c>
      <c r="E49" s="3" t="s">
        <v>62</v>
      </c>
      <c r="F49" s="3" t="s">
        <v>23</v>
      </c>
      <c r="G49" s="3" t="s">
        <v>17</v>
      </c>
      <c r="H49" s="3">
        <v>3</v>
      </c>
      <c r="I49" s="3">
        <v>19000</v>
      </c>
      <c r="J49" s="3" t="s">
        <v>24</v>
      </c>
      <c r="K49" s="3">
        <v>1800</v>
      </c>
      <c r="L49" s="6" t="s">
        <v>25</v>
      </c>
      <c r="M49" s="3">
        <f>Table13[[#This Row],[Quantity]]*Table13[[#This Row],[Unit_Price]]</f>
        <v>57000</v>
      </c>
    </row>
    <row r="50" spans="1:19">
      <c r="A50" s="5">
        <v>1036</v>
      </c>
      <c r="B50" s="4">
        <v>46040</v>
      </c>
      <c r="C50" s="3" t="s">
        <v>20</v>
      </c>
      <c r="D50" s="3" t="s">
        <v>21</v>
      </c>
      <c r="E50" s="3" t="s">
        <v>74</v>
      </c>
      <c r="F50" s="3" t="s">
        <v>16</v>
      </c>
      <c r="G50" s="3" t="s">
        <v>17</v>
      </c>
      <c r="H50" s="3">
        <v>1</v>
      </c>
      <c r="I50" s="3">
        <v>54000</v>
      </c>
      <c r="J50" s="3" t="s">
        <v>24</v>
      </c>
      <c r="K50" s="3">
        <v>2300</v>
      </c>
      <c r="L50" s="6" t="s">
        <v>25</v>
      </c>
      <c r="M50" s="3">
        <f>Table13[[#This Row],[Quantity]]*Table13[[#This Row],[Unit_Price]]</f>
        <v>54000</v>
      </c>
      <c r="O50" t="s">
        <v>97</v>
      </c>
      <c r="R50" s="20">
        <f>Q48/U48</f>
        <v>0.17543859649122806</v>
      </c>
    </row>
    <row r="51" spans="1:19">
      <c r="A51" s="5">
        <v>1011</v>
      </c>
      <c r="B51" s="4">
        <v>46028</v>
      </c>
      <c r="C51" s="3" t="s">
        <v>20</v>
      </c>
      <c r="D51" s="3" t="s">
        <v>21</v>
      </c>
      <c r="E51" s="3" t="s">
        <v>49</v>
      </c>
      <c r="F51" s="3" t="s">
        <v>16</v>
      </c>
      <c r="G51" s="3" t="s">
        <v>17</v>
      </c>
      <c r="H51" s="3">
        <v>1</v>
      </c>
      <c r="I51" s="3">
        <v>52000</v>
      </c>
      <c r="J51" s="3" t="s">
        <v>24</v>
      </c>
      <c r="K51" s="3">
        <v>2200</v>
      </c>
      <c r="L51" s="6" t="s">
        <v>25</v>
      </c>
      <c r="M51" s="3">
        <f>Table13[[#This Row],[Quantity]]*Table13[[#This Row],[Unit_Price]]</f>
        <v>52000</v>
      </c>
      <c r="R51" s="21" t="s">
        <v>10</v>
      </c>
      <c r="S51" t="s">
        <v>24</v>
      </c>
    </row>
    <row r="52" spans="1:19">
      <c r="A52" s="5">
        <v>1044</v>
      </c>
      <c r="B52" s="4">
        <v>46044</v>
      </c>
      <c r="C52" s="3" t="s">
        <v>20</v>
      </c>
      <c r="D52" s="3" t="s">
        <v>21</v>
      </c>
      <c r="E52" s="3" t="s">
        <v>53</v>
      </c>
      <c r="F52" s="3" t="s">
        <v>23</v>
      </c>
      <c r="G52" s="3" t="s">
        <v>17</v>
      </c>
      <c r="H52" s="3">
        <v>2</v>
      </c>
      <c r="I52" s="3">
        <v>21000</v>
      </c>
      <c r="J52" s="3" t="s">
        <v>24</v>
      </c>
      <c r="K52" s="3">
        <v>1600</v>
      </c>
      <c r="L52" s="6" t="s">
        <v>25</v>
      </c>
      <c r="M52" s="3">
        <f>Table13[[#This Row],[Quantity]]*Table13[[#This Row],[Unit_Price]]</f>
        <v>42000</v>
      </c>
    </row>
    <row r="53" spans="1:19">
      <c r="A53" s="5">
        <v>1002</v>
      </c>
      <c r="B53" s="4">
        <v>46023</v>
      </c>
      <c r="C53" s="3" t="s">
        <v>20</v>
      </c>
      <c r="D53" s="3" t="s">
        <v>21</v>
      </c>
      <c r="E53" s="3" t="s">
        <v>22</v>
      </c>
      <c r="F53" s="3" t="s">
        <v>23</v>
      </c>
      <c r="G53" s="3" t="s">
        <v>17</v>
      </c>
      <c r="H53" s="3">
        <v>2</v>
      </c>
      <c r="I53" s="3">
        <v>20000</v>
      </c>
      <c r="J53" s="3" t="s">
        <v>24</v>
      </c>
      <c r="K53" s="3">
        <v>1500</v>
      </c>
      <c r="L53" s="6" t="s">
        <v>25</v>
      </c>
      <c r="M53" s="3">
        <f>Table13[[#This Row],[Quantity]]*Table13[[#This Row],[Unit_Price]]</f>
        <v>40000</v>
      </c>
      <c r="O53" t="s">
        <v>98</v>
      </c>
      <c r="R53" s="21" t="s">
        <v>99</v>
      </c>
      <c r="S53" t="s">
        <v>101</v>
      </c>
    </row>
    <row r="54" spans="1:19">
      <c r="A54" s="5">
        <v>1032</v>
      </c>
      <c r="B54" s="4">
        <v>46038</v>
      </c>
      <c r="C54" s="3" t="s">
        <v>20</v>
      </c>
      <c r="D54" s="3" t="s">
        <v>21</v>
      </c>
      <c r="E54" s="3" t="s">
        <v>70</v>
      </c>
      <c r="F54" s="3" t="s">
        <v>47</v>
      </c>
      <c r="G54" s="3" t="s">
        <v>17</v>
      </c>
      <c r="H54" s="3">
        <v>1</v>
      </c>
      <c r="I54" s="3">
        <v>31000</v>
      </c>
      <c r="J54" s="3" t="s">
        <v>24</v>
      </c>
      <c r="K54" s="3">
        <v>1500</v>
      </c>
      <c r="L54" s="6" t="s">
        <v>25</v>
      </c>
      <c r="M54" s="3">
        <f>Table13[[#This Row],[Quantity]]*Table13[[#This Row],[Unit_Price]]</f>
        <v>31000</v>
      </c>
      <c r="R54" s="22" t="s">
        <v>20</v>
      </c>
      <c r="S54" s="23">
        <v>10</v>
      </c>
    </row>
    <row r="55" spans="1:19">
      <c r="A55" s="5">
        <v>1048</v>
      </c>
      <c r="B55" s="4">
        <v>46046</v>
      </c>
      <c r="C55" s="3" t="s">
        <v>20</v>
      </c>
      <c r="D55" s="3" t="s">
        <v>21</v>
      </c>
      <c r="E55" s="3" t="s">
        <v>33</v>
      </c>
      <c r="F55" s="3" t="s">
        <v>47</v>
      </c>
      <c r="G55" s="3" t="s">
        <v>17</v>
      </c>
      <c r="H55" s="3">
        <v>1</v>
      </c>
      <c r="I55" s="3">
        <v>30000</v>
      </c>
      <c r="J55" s="3" t="s">
        <v>24</v>
      </c>
      <c r="K55" s="3">
        <v>1400</v>
      </c>
      <c r="L55" s="6" t="s">
        <v>25</v>
      </c>
      <c r="M55" s="3">
        <f>Table13[[#This Row],[Quantity]]*Table13[[#This Row],[Unit_Price]]</f>
        <v>30000</v>
      </c>
      <c r="R55" s="22" t="s">
        <v>100</v>
      </c>
      <c r="S55" s="23">
        <v>10</v>
      </c>
    </row>
    <row r="56" spans="1:19">
      <c r="A56" s="5">
        <v>1015</v>
      </c>
      <c r="B56" s="4">
        <v>46030</v>
      </c>
      <c r="C56" s="3" t="s">
        <v>20</v>
      </c>
      <c r="D56" s="3" t="s">
        <v>21</v>
      </c>
      <c r="E56" s="3" t="s">
        <v>53</v>
      </c>
      <c r="F56" s="3" t="s">
        <v>47</v>
      </c>
      <c r="G56" s="3" t="s">
        <v>17</v>
      </c>
      <c r="H56" s="3">
        <v>1</v>
      </c>
      <c r="I56" s="3">
        <v>28000</v>
      </c>
      <c r="J56" s="3" t="s">
        <v>24</v>
      </c>
      <c r="K56" s="3">
        <v>1300</v>
      </c>
      <c r="L56" s="6" t="s">
        <v>25</v>
      </c>
      <c r="M56" s="3">
        <f>Table13[[#This Row],[Quantity]]*Table13[[#This Row],[Unit_Price]]</f>
        <v>28000</v>
      </c>
    </row>
    <row r="57" spans="1:19">
      <c r="A57" s="10">
        <v>1007</v>
      </c>
      <c r="B57" s="11">
        <v>46026</v>
      </c>
      <c r="C57" s="12" t="s">
        <v>20</v>
      </c>
      <c r="D57" s="12" t="s">
        <v>21</v>
      </c>
      <c r="E57" s="12" t="s">
        <v>42</v>
      </c>
      <c r="F57" s="12" t="s">
        <v>23</v>
      </c>
      <c r="G57" s="12" t="s">
        <v>17</v>
      </c>
      <c r="H57" s="12">
        <v>1</v>
      </c>
      <c r="I57" s="12">
        <v>18000</v>
      </c>
      <c r="J57" s="12" t="s">
        <v>24</v>
      </c>
      <c r="K57" s="12">
        <v>1200</v>
      </c>
      <c r="L57" s="13" t="s">
        <v>25</v>
      </c>
      <c r="M57" s="12">
        <f>Table13[[#This Row],[Quantity]]*Table13[[#This Row],[Unit_Price]]</f>
        <v>18000</v>
      </c>
      <c r="O57" t="s">
        <v>102</v>
      </c>
      <c r="R57" s="21" t="s">
        <v>10</v>
      </c>
      <c r="S57" t="s">
        <v>24</v>
      </c>
    </row>
    <row r="59" spans="1:19">
      <c r="R59" s="21" t="s">
        <v>99</v>
      </c>
    </row>
    <row r="60" spans="1:19">
      <c r="R60" s="22" t="s">
        <v>21</v>
      </c>
    </row>
    <row r="61" spans="1:19">
      <c r="R61" s="22" t="s">
        <v>100</v>
      </c>
    </row>
    <row r="62" spans="1:19">
      <c r="H62" t="s">
        <v>105</v>
      </c>
    </row>
    <row r="63" spans="1:19">
      <c r="H63" s="25"/>
      <c r="O63" t="s">
        <v>103</v>
      </c>
      <c r="R63" s="21" t="s">
        <v>10</v>
      </c>
      <c r="S63" t="s">
        <v>24</v>
      </c>
    </row>
    <row r="64" spans="1:19">
      <c r="H64" s="25" t="s">
        <v>104</v>
      </c>
    </row>
    <row r="65" spans="2:18">
      <c r="R65" s="21" t="s">
        <v>99</v>
      </c>
    </row>
    <row r="66" spans="2:18">
      <c r="R66" s="22" t="s">
        <v>16</v>
      </c>
    </row>
    <row r="67" spans="2:18">
      <c r="K67" s="3" t="s">
        <v>106</v>
      </c>
      <c r="L67" s="3"/>
      <c r="M67" s="3">
        <v>57</v>
      </c>
      <c r="N67" s="3"/>
      <c r="R67" s="22" t="s">
        <v>23</v>
      </c>
    </row>
    <row r="68" spans="2:18">
      <c r="K68" s="3" t="s">
        <v>107</v>
      </c>
      <c r="L68" s="3"/>
      <c r="M68" s="3">
        <v>10</v>
      </c>
      <c r="N68" s="3"/>
      <c r="R68" s="22" t="s">
        <v>47</v>
      </c>
    </row>
    <row r="69" spans="2:18">
      <c r="B69" t="s">
        <v>113</v>
      </c>
      <c r="K69" s="3" t="s">
        <v>108</v>
      </c>
      <c r="L69" s="3"/>
      <c r="M69" s="26">
        <v>0.18</v>
      </c>
      <c r="N69" s="3"/>
      <c r="R69" s="22" t="s">
        <v>100</v>
      </c>
    </row>
    <row r="70" spans="2:18">
      <c r="K70" s="3" t="s">
        <v>109</v>
      </c>
      <c r="L70" s="3"/>
      <c r="M70" s="3" t="s">
        <v>20</v>
      </c>
      <c r="N70" s="3"/>
    </row>
    <row r="71" spans="2:18">
      <c r="K71" s="3" t="s">
        <v>110</v>
      </c>
      <c r="L71" s="3"/>
      <c r="M71" s="3" t="s">
        <v>21</v>
      </c>
      <c r="N71" s="3"/>
    </row>
    <row r="72" spans="2:18">
      <c r="K72" s="3" t="s">
        <v>111</v>
      </c>
      <c r="L72" s="3"/>
      <c r="M72" s="3" t="s">
        <v>112</v>
      </c>
      <c r="N72" s="3"/>
    </row>
  </sheetData>
  <mergeCells count="4">
    <mergeCell ref="B1:H2"/>
    <mergeCell ref="B5:D5"/>
    <mergeCell ref="I1:M1"/>
    <mergeCell ref="I2:M2"/>
  </mergeCells>
  <pageMargins left="0.7" right="0.7" top="0.75" bottom="0.75" header="0.3" footer="0.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FCA3-A114-4CE8-A74D-DB238FF94A1F}">
  <dimension ref="A1:P65"/>
  <sheetViews>
    <sheetView topLeftCell="A21" zoomScale="70" zoomScaleNormal="70" workbookViewId="0">
      <selection activeCell="P9" sqref="P9"/>
    </sheetView>
  </sheetViews>
  <sheetFormatPr defaultRowHeight="14.4"/>
  <cols>
    <col min="2" max="2" width="12.21875" customWidth="1"/>
    <col min="4" max="4" width="45.88671875" customWidth="1"/>
    <col min="8" max="8" width="14.5546875" customWidth="1"/>
    <col min="9" max="9" width="11.88671875" bestFit="1" customWidth="1"/>
    <col min="11" max="11" width="10.109375" bestFit="1" customWidth="1"/>
    <col min="12" max="12" width="16.88671875" bestFit="1" customWidth="1"/>
    <col min="13" max="13" width="6.44140625" customWidth="1"/>
    <col min="15" max="15" width="10.77734375" bestFit="1" customWidth="1"/>
    <col min="16" max="16" width="15.77734375" bestFit="1" customWidth="1"/>
  </cols>
  <sheetData>
    <row r="1" spans="1:16" ht="18">
      <c r="A1" s="28" t="s">
        <v>132</v>
      </c>
      <c r="B1" s="28"/>
      <c r="C1" s="28"/>
      <c r="D1" s="28"/>
    </row>
    <row r="4" spans="1:16" ht="18">
      <c r="B4" s="28" t="s">
        <v>115</v>
      </c>
      <c r="C4" s="28"/>
      <c r="D4" s="28"/>
    </row>
    <row r="6" spans="1:16">
      <c r="A6" s="7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10</v>
      </c>
      <c r="K6" s="8" t="s">
        <v>11</v>
      </c>
      <c r="L6" s="9" t="s">
        <v>12</v>
      </c>
      <c r="M6" s="8" t="s">
        <v>81</v>
      </c>
    </row>
    <row r="7" spans="1:16">
      <c r="A7" s="5">
        <v>1028</v>
      </c>
      <c r="B7" s="4">
        <v>46036</v>
      </c>
      <c r="C7" s="3" t="s">
        <v>20</v>
      </c>
      <c r="D7" s="3" t="s">
        <v>21</v>
      </c>
      <c r="E7" s="3" t="s">
        <v>66</v>
      </c>
      <c r="F7" s="3" t="s">
        <v>45</v>
      </c>
      <c r="G7" s="3" t="s">
        <v>29</v>
      </c>
      <c r="H7" s="3">
        <v>1</v>
      </c>
      <c r="I7" s="3">
        <v>16000</v>
      </c>
      <c r="J7" s="3" t="s">
        <v>35</v>
      </c>
      <c r="K7" s="3">
        <v>600</v>
      </c>
      <c r="L7" s="6" t="s">
        <v>25</v>
      </c>
      <c r="M7" s="19">
        <f>Table14[[#This Row],[Quantity]]*Table14[[#This Row],[Unit_Price]]</f>
        <v>16000</v>
      </c>
      <c r="O7" s="2" t="s">
        <v>116</v>
      </c>
      <c r="P7" s="3">
        <f>SUM(Table14[Revenue2])</f>
        <v>1329500</v>
      </c>
    </row>
    <row r="8" spans="1:16">
      <c r="A8" s="5">
        <v>1014</v>
      </c>
      <c r="B8" s="4">
        <v>46029</v>
      </c>
      <c r="C8" s="3" t="s">
        <v>36</v>
      </c>
      <c r="D8" s="3" t="s">
        <v>37</v>
      </c>
      <c r="E8" s="3" t="s">
        <v>52</v>
      </c>
      <c r="F8" s="3" t="s">
        <v>45</v>
      </c>
      <c r="G8" s="3" t="s">
        <v>29</v>
      </c>
      <c r="H8" s="3">
        <v>1</v>
      </c>
      <c r="I8" s="3">
        <v>15000</v>
      </c>
      <c r="J8" s="3" t="s">
        <v>35</v>
      </c>
      <c r="K8" s="3">
        <v>700</v>
      </c>
      <c r="L8" s="6" t="s">
        <v>40</v>
      </c>
      <c r="M8" s="3">
        <f>Table14[[#This Row],[Quantity]]*Table14[[#This Row],[Unit_Price]]</f>
        <v>15000</v>
      </c>
      <c r="O8" s="2" t="s">
        <v>117</v>
      </c>
      <c r="P8" s="3">
        <f>SUM(Table14[Expense])</f>
        <v>59100</v>
      </c>
    </row>
    <row r="9" spans="1:16">
      <c r="A9" s="5">
        <v>1040</v>
      </c>
      <c r="B9" s="4">
        <v>46042</v>
      </c>
      <c r="C9" s="3" t="s">
        <v>20</v>
      </c>
      <c r="D9" s="3" t="s">
        <v>21</v>
      </c>
      <c r="E9" s="3" t="s">
        <v>22</v>
      </c>
      <c r="F9" s="3" t="s">
        <v>34</v>
      </c>
      <c r="G9" s="3" t="s">
        <v>29</v>
      </c>
      <c r="H9" s="3">
        <v>1</v>
      </c>
      <c r="I9" s="3">
        <v>9000</v>
      </c>
      <c r="J9" s="3" t="s">
        <v>35</v>
      </c>
      <c r="K9" s="3">
        <v>400</v>
      </c>
      <c r="L9" s="6" t="s">
        <v>25</v>
      </c>
      <c r="M9" s="3">
        <f>Table14[[#This Row],[Quantity]]*Table14[[#This Row],[Unit_Price]]</f>
        <v>9000</v>
      </c>
      <c r="O9" s="3">
        <f>P7-P8</f>
        <v>1270400</v>
      </c>
      <c r="P9" s="2" t="s">
        <v>133</v>
      </c>
    </row>
    <row r="10" spans="1:16">
      <c r="A10" s="5">
        <v>1004</v>
      </c>
      <c r="B10" s="4">
        <v>46024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29</v>
      </c>
      <c r="H10" s="3">
        <v>1</v>
      </c>
      <c r="I10" s="3">
        <v>8000</v>
      </c>
      <c r="J10" s="3" t="s">
        <v>35</v>
      </c>
      <c r="K10" s="3">
        <v>300</v>
      </c>
      <c r="L10" s="6" t="s">
        <v>19</v>
      </c>
      <c r="M10" s="3">
        <f>Table14[[#This Row],[Quantity]]*Table14[[#This Row],[Unit_Price]]</f>
        <v>8000</v>
      </c>
    </row>
    <row r="11" spans="1:16">
      <c r="A11" s="5">
        <v>1016</v>
      </c>
      <c r="B11" s="4">
        <v>46030</v>
      </c>
      <c r="C11" s="3" t="s">
        <v>13</v>
      </c>
      <c r="D11" s="3" t="s">
        <v>14</v>
      </c>
      <c r="E11" s="3" t="s">
        <v>54</v>
      </c>
      <c r="F11" s="3" t="s">
        <v>16</v>
      </c>
      <c r="G11" s="3" t="s">
        <v>17</v>
      </c>
      <c r="H11" s="3">
        <v>1</v>
      </c>
      <c r="I11" s="3">
        <v>60000</v>
      </c>
      <c r="J11" s="3" t="s">
        <v>18</v>
      </c>
      <c r="K11" s="3">
        <v>3000</v>
      </c>
      <c r="L11" s="6" t="s">
        <v>19</v>
      </c>
      <c r="M11" s="3">
        <f>Table14[[#This Row],[Quantity]]*Table14[[#This Row],[Unit_Price]]</f>
        <v>60000</v>
      </c>
    </row>
    <row r="12" spans="1:16">
      <c r="A12" s="5">
        <v>1041</v>
      </c>
      <c r="B12" s="4">
        <v>46043</v>
      </c>
      <c r="C12" s="3" t="s">
        <v>13</v>
      </c>
      <c r="D12" s="3" t="s">
        <v>26</v>
      </c>
      <c r="E12" s="3" t="s">
        <v>78</v>
      </c>
      <c r="F12" s="3" t="s">
        <v>16</v>
      </c>
      <c r="G12" s="3" t="s">
        <v>17</v>
      </c>
      <c r="H12" s="3">
        <v>1</v>
      </c>
      <c r="I12" s="3">
        <v>56000</v>
      </c>
      <c r="J12" s="3" t="s">
        <v>18</v>
      </c>
      <c r="K12" s="3">
        <v>2500</v>
      </c>
      <c r="L12" s="6" t="s">
        <v>19</v>
      </c>
      <c r="M12" s="3">
        <f>Table14[[#This Row],[Quantity]]*Table14[[#This Row],[Unit_Price]]</f>
        <v>56000</v>
      </c>
      <c r="O12" s="29" t="s">
        <v>119</v>
      </c>
      <c r="P12" s="29"/>
    </row>
    <row r="13" spans="1:16">
      <c r="A13" s="5">
        <v>1006</v>
      </c>
      <c r="B13" s="4">
        <v>46025</v>
      </c>
      <c r="C13" s="3" t="s">
        <v>13</v>
      </c>
      <c r="D13" s="3" t="s">
        <v>14</v>
      </c>
      <c r="E13" s="3" t="s">
        <v>41</v>
      </c>
      <c r="F13" s="3" t="s">
        <v>16</v>
      </c>
      <c r="G13" s="3" t="s">
        <v>17</v>
      </c>
      <c r="H13" s="3">
        <v>1</v>
      </c>
      <c r="I13" s="3">
        <v>55000</v>
      </c>
      <c r="J13" s="3" t="s">
        <v>18</v>
      </c>
      <c r="K13" s="3">
        <v>2500</v>
      </c>
      <c r="L13" s="6" t="s">
        <v>19</v>
      </c>
      <c r="M13" s="3">
        <f>Table14[[#This Row],[Quantity]]*Table14[[#This Row],[Unit_Price]]</f>
        <v>55000</v>
      </c>
      <c r="O13" s="21" t="s">
        <v>2</v>
      </c>
      <c r="P13" t="s">
        <v>118</v>
      </c>
    </row>
    <row r="14" spans="1:16">
      <c r="A14" s="5">
        <v>1025</v>
      </c>
      <c r="B14" s="4">
        <v>46035</v>
      </c>
      <c r="C14" s="3" t="s">
        <v>13</v>
      </c>
      <c r="D14" s="3" t="s">
        <v>26</v>
      </c>
      <c r="E14" s="3" t="s">
        <v>63</v>
      </c>
      <c r="F14" s="3" t="s">
        <v>16</v>
      </c>
      <c r="G14" s="3" t="s">
        <v>17</v>
      </c>
      <c r="H14" s="3">
        <v>1</v>
      </c>
      <c r="I14" s="3">
        <v>53000</v>
      </c>
      <c r="J14" s="3" t="s">
        <v>18</v>
      </c>
      <c r="K14" s="3">
        <v>2100</v>
      </c>
      <c r="L14" s="6" t="s">
        <v>19</v>
      </c>
      <c r="M14" s="3">
        <f>Table14[[#This Row],[Quantity]]*Table14[[#This Row],[Unit_Price]]</f>
        <v>53000</v>
      </c>
      <c r="O14" s="22" t="s">
        <v>36</v>
      </c>
      <c r="P14" s="23">
        <v>208000</v>
      </c>
    </row>
    <row r="15" spans="1:16">
      <c r="A15" s="5">
        <v>1046</v>
      </c>
      <c r="B15" s="4">
        <v>46045</v>
      </c>
      <c r="C15" s="3" t="s">
        <v>31</v>
      </c>
      <c r="D15" s="3" t="s">
        <v>32</v>
      </c>
      <c r="E15" s="3" t="s">
        <v>80</v>
      </c>
      <c r="F15" s="3" t="s">
        <v>16</v>
      </c>
      <c r="G15" s="3" t="s">
        <v>17</v>
      </c>
      <c r="H15" s="3">
        <v>1</v>
      </c>
      <c r="I15" s="3">
        <v>52000</v>
      </c>
      <c r="J15" s="3" t="s">
        <v>18</v>
      </c>
      <c r="K15" s="3">
        <v>2200</v>
      </c>
      <c r="L15" s="6" t="s">
        <v>30</v>
      </c>
      <c r="M15" s="3">
        <f>Table14[[#This Row],[Quantity]]*Table14[[#This Row],[Unit_Price]]</f>
        <v>52000</v>
      </c>
      <c r="O15" s="22" t="s">
        <v>20</v>
      </c>
      <c r="P15" s="23">
        <v>435000</v>
      </c>
    </row>
    <row r="16" spans="1:16">
      <c r="A16" s="5">
        <v>1031</v>
      </c>
      <c r="B16" s="4">
        <v>46038</v>
      </c>
      <c r="C16" s="3" t="s">
        <v>36</v>
      </c>
      <c r="D16" s="3" t="s">
        <v>37</v>
      </c>
      <c r="E16" s="3" t="s">
        <v>69</v>
      </c>
      <c r="F16" s="3" t="s">
        <v>16</v>
      </c>
      <c r="G16" s="3" t="s">
        <v>17</v>
      </c>
      <c r="H16" s="3">
        <v>1</v>
      </c>
      <c r="I16" s="3">
        <v>51000</v>
      </c>
      <c r="J16" s="3" t="s">
        <v>18</v>
      </c>
      <c r="K16" s="3">
        <v>2000</v>
      </c>
      <c r="L16" s="6" t="s">
        <v>40</v>
      </c>
      <c r="M16" s="3">
        <f>Table14[[#This Row],[Quantity]]*Table14[[#This Row],[Unit_Price]]</f>
        <v>51000</v>
      </c>
      <c r="O16" s="22" t="s">
        <v>13</v>
      </c>
      <c r="P16" s="23">
        <v>495000</v>
      </c>
    </row>
    <row r="17" spans="1:16">
      <c r="A17" s="5">
        <v>1001</v>
      </c>
      <c r="B17" s="4">
        <v>46023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>
        <v>1</v>
      </c>
      <c r="I17" s="3">
        <v>50000</v>
      </c>
      <c r="J17" s="3" t="s">
        <v>18</v>
      </c>
      <c r="K17" s="3">
        <v>2000</v>
      </c>
      <c r="L17" s="6" t="s">
        <v>19</v>
      </c>
      <c r="M17" s="3">
        <f>Table14[[#This Row],[Quantity]]*Table14[[#This Row],[Unit_Price]]</f>
        <v>50000</v>
      </c>
      <c r="O17" s="22" t="s">
        <v>31</v>
      </c>
      <c r="P17" s="23">
        <v>191500</v>
      </c>
    </row>
    <row r="18" spans="1:16">
      <c r="A18" s="5">
        <v>1029</v>
      </c>
      <c r="B18" s="4">
        <v>46037</v>
      </c>
      <c r="C18" s="3" t="s">
        <v>13</v>
      </c>
      <c r="D18" s="3" t="s">
        <v>14</v>
      </c>
      <c r="E18" s="3" t="s">
        <v>67</v>
      </c>
      <c r="F18" s="3" t="s">
        <v>23</v>
      </c>
      <c r="G18" s="3" t="s">
        <v>17</v>
      </c>
      <c r="H18" s="3">
        <v>2</v>
      </c>
      <c r="I18" s="3">
        <v>22000</v>
      </c>
      <c r="J18" s="3" t="s">
        <v>18</v>
      </c>
      <c r="K18" s="3">
        <v>1700</v>
      </c>
      <c r="L18" s="6" t="s">
        <v>19</v>
      </c>
      <c r="M18" s="3">
        <f>Table14[[#This Row],[Quantity]]*Table14[[#This Row],[Unit_Price]]</f>
        <v>44000</v>
      </c>
      <c r="O18" s="22" t="s">
        <v>100</v>
      </c>
      <c r="P18" s="23">
        <v>1329500</v>
      </c>
    </row>
    <row r="19" spans="1:16">
      <c r="A19" s="5">
        <v>1013</v>
      </c>
      <c r="B19" s="4">
        <v>46029</v>
      </c>
      <c r="C19" s="3" t="s">
        <v>13</v>
      </c>
      <c r="D19" s="3" t="s">
        <v>26</v>
      </c>
      <c r="E19" s="3" t="s">
        <v>51</v>
      </c>
      <c r="F19" s="3" t="s">
        <v>23</v>
      </c>
      <c r="G19" s="3" t="s">
        <v>17</v>
      </c>
      <c r="H19" s="3">
        <v>2</v>
      </c>
      <c r="I19" s="3">
        <v>21000</v>
      </c>
      <c r="J19" s="3" t="s">
        <v>18</v>
      </c>
      <c r="K19" s="3">
        <v>1800</v>
      </c>
      <c r="L19" s="6" t="s">
        <v>19</v>
      </c>
      <c r="M19" s="3">
        <f>Table14[[#This Row],[Quantity]]*Table14[[#This Row],[Unit_Price]]</f>
        <v>42000</v>
      </c>
    </row>
    <row r="20" spans="1:16">
      <c r="A20" s="5">
        <v>1039</v>
      </c>
      <c r="B20" s="4">
        <v>46042</v>
      </c>
      <c r="C20" s="3" t="s">
        <v>36</v>
      </c>
      <c r="D20" s="3" t="s">
        <v>37</v>
      </c>
      <c r="E20" s="3" t="s">
        <v>77</v>
      </c>
      <c r="F20" s="3" t="s">
        <v>23</v>
      </c>
      <c r="G20" s="3" t="s">
        <v>17</v>
      </c>
      <c r="H20" s="3">
        <v>2</v>
      </c>
      <c r="I20" s="3">
        <v>18000</v>
      </c>
      <c r="J20" s="3" t="s">
        <v>18</v>
      </c>
      <c r="K20" s="3">
        <v>1200</v>
      </c>
      <c r="L20" s="6" t="s">
        <v>40</v>
      </c>
      <c r="M20" s="3">
        <f>Table14[[#This Row],[Quantity]]*Table14[[#This Row],[Unit_Price]]</f>
        <v>36000</v>
      </c>
    </row>
    <row r="21" spans="1:16">
      <c r="A21" s="5">
        <v>1021</v>
      </c>
      <c r="B21" s="4">
        <v>46033</v>
      </c>
      <c r="C21" s="3" t="s">
        <v>31</v>
      </c>
      <c r="D21" s="3" t="s">
        <v>32</v>
      </c>
      <c r="E21" s="3" t="s">
        <v>59</v>
      </c>
      <c r="F21" s="3" t="s">
        <v>47</v>
      </c>
      <c r="G21" s="3" t="s">
        <v>17</v>
      </c>
      <c r="H21" s="3">
        <v>1</v>
      </c>
      <c r="I21" s="3">
        <v>32000</v>
      </c>
      <c r="J21" s="3" t="s">
        <v>18</v>
      </c>
      <c r="K21" s="3">
        <v>1600</v>
      </c>
      <c r="L21" s="6" t="s">
        <v>19</v>
      </c>
      <c r="M21" s="3">
        <f>Table14[[#This Row],[Quantity]]*Table14[[#This Row],[Unit_Price]]</f>
        <v>32000</v>
      </c>
      <c r="O21" s="29"/>
      <c r="P21" s="29"/>
    </row>
    <row r="22" spans="1:16">
      <c r="A22" s="5">
        <v>1037</v>
      </c>
      <c r="B22" s="4">
        <v>46041</v>
      </c>
      <c r="C22" s="3" t="s">
        <v>13</v>
      </c>
      <c r="D22" s="3" t="s">
        <v>14</v>
      </c>
      <c r="E22" s="3" t="s">
        <v>75</v>
      </c>
      <c r="F22" s="3" t="s">
        <v>47</v>
      </c>
      <c r="G22" s="3" t="s">
        <v>17</v>
      </c>
      <c r="H22" s="3">
        <v>1</v>
      </c>
      <c r="I22" s="3">
        <v>30000</v>
      </c>
      <c r="J22" s="3" t="s">
        <v>18</v>
      </c>
      <c r="K22" s="3">
        <v>1500</v>
      </c>
      <c r="L22" s="6" t="s">
        <v>19</v>
      </c>
      <c r="M22" s="3">
        <f>Table14[[#This Row],[Quantity]]*Table14[[#This Row],[Unit_Price]]</f>
        <v>30000</v>
      </c>
      <c r="O22" s="29" t="s">
        <v>120</v>
      </c>
      <c r="P22" s="29"/>
    </row>
    <row r="23" spans="1:16">
      <c r="A23" s="5">
        <v>1009</v>
      </c>
      <c r="B23" s="4">
        <v>46027</v>
      </c>
      <c r="C23" s="3" t="s">
        <v>13</v>
      </c>
      <c r="D23" s="3" t="s">
        <v>14</v>
      </c>
      <c r="E23" s="3" t="s">
        <v>46</v>
      </c>
      <c r="F23" s="3" t="s">
        <v>47</v>
      </c>
      <c r="G23" s="3" t="s">
        <v>17</v>
      </c>
      <c r="H23" s="3">
        <v>1</v>
      </c>
      <c r="I23" s="3">
        <v>30000</v>
      </c>
      <c r="J23" s="3" t="s">
        <v>18</v>
      </c>
      <c r="K23" s="3">
        <v>1500</v>
      </c>
      <c r="L23" s="6" t="s">
        <v>19</v>
      </c>
      <c r="M23" s="3">
        <f>Table14[[#This Row],[Quantity]]*Table14[[#This Row],[Unit_Price]]</f>
        <v>30000</v>
      </c>
      <c r="O23" s="21" t="s">
        <v>6</v>
      </c>
      <c r="P23" t="s">
        <v>118</v>
      </c>
    </row>
    <row r="24" spans="1:16">
      <c r="A24" s="5">
        <v>1027</v>
      </c>
      <c r="B24" s="4">
        <v>46036</v>
      </c>
      <c r="C24" s="3" t="s">
        <v>36</v>
      </c>
      <c r="D24" s="3" t="s">
        <v>37</v>
      </c>
      <c r="E24" s="3" t="s">
        <v>65</v>
      </c>
      <c r="F24" s="3" t="s">
        <v>47</v>
      </c>
      <c r="G24" s="3" t="s">
        <v>17</v>
      </c>
      <c r="H24" s="3">
        <v>1</v>
      </c>
      <c r="I24" s="3">
        <v>29000</v>
      </c>
      <c r="J24" s="3" t="s">
        <v>18</v>
      </c>
      <c r="K24" s="3">
        <v>1200</v>
      </c>
      <c r="L24" s="6" t="s">
        <v>40</v>
      </c>
      <c r="M24" s="3">
        <f>Table14[[#This Row],[Quantity]]*Table14[[#This Row],[Unit_Price]]</f>
        <v>29000</v>
      </c>
      <c r="O24" s="22" t="s">
        <v>17</v>
      </c>
      <c r="P24" s="23">
        <v>1120000</v>
      </c>
    </row>
    <row r="25" spans="1:16">
      <c r="A25" s="5">
        <v>1043</v>
      </c>
      <c r="B25" s="4">
        <v>46044</v>
      </c>
      <c r="C25" s="3" t="s">
        <v>36</v>
      </c>
      <c r="D25" s="3" t="s">
        <v>37</v>
      </c>
      <c r="E25" s="3" t="s">
        <v>52</v>
      </c>
      <c r="F25" s="3" t="s">
        <v>47</v>
      </c>
      <c r="G25" s="3" t="s">
        <v>17</v>
      </c>
      <c r="H25" s="3">
        <v>1</v>
      </c>
      <c r="I25" s="3">
        <v>28000</v>
      </c>
      <c r="J25" s="3" t="s">
        <v>18</v>
      </c>
      <c r="K25" s="3">
        <v>1000</v>
      </c>
      <c r="L25" s="6" t="s">
        <v>40</v>
      </c>
      <c r="M25" s="3">
        <f>Table14[[#This Row],[Quantity]]*Table14[[#This Row],[Unit_Price]]</f>
        <v>28000</v>
      </c>
      <c r="O25" s="22" t="s">
        <v>29</v>
      </c>
      <c r="P25" s="23">
        <v>209500</v>
      </c>
    </row>
    <row r="26" spans="1:16">
      <c r="A26" s="5">
        <v>1034</v>
      </c>
      <c r="B26" s="4">
        <v>46039</v>
      </c>
      <c r="C26" s="3" t="s">
        <v>31</v>
      </c>
      <c r="D26" s="3" t="s">
        <v>43</v>
      </c>
      <c r="E26" s="3" t="s">
        <v>72</v>
      </c>
      <c r="F26" s="3" t="s">
        <v>23</v>
      </c>
      <c r="G26" s="3" t="s">
        <v>17</v>
      </c>
      <c r="H26" s="3">
        <v>1</v>
      </c>
      <c r="I26" s="3">
        <v>20000</v>
      </c>
      <c r="J26" s="3" t="s">
        <v>18</v>
      </c>
      <c r="K26" s="3">
        <v>1000</v>
      </c>
      <c r="L26" s="6" t="s">
        <v>30</v>
      </c>
      <c r="M26" s="3">
        <f>Table14[[#This Row],[Quantity]]*Table14[[#This Row],[Unit_Price]]</f>
        <v>20000</v>
      </c>
      <c r="O26" s="22" t="s">
        <v>100</v>
      </c>
      <c r="P26" s="23">
        <v>1329500</v>
      </c>
    </row>
    <row r="27" spans="1:16">
      <c r="A27" s="5">
        <v>1049</v>
      </c>
      <c r="B27" s="4">
        <v>46047</v>
      </c>
      <c r="C27" s="3" t="s">
        <v>13</v>
      </c>
      <c r="D27" s="3" t="s">
        <v>26</v>
      </c>
      <c r="E27" s="3" t="s">
        <v>57</v>
      </c>
      <c r="F27" s="3" t="s">
        <v>23</v>
      </c>
      <c r="G27" s="3" t="s">
        <v>17</v>
      </c>
      <c r="H27" s="3">
        <v>1</v>
      </c>
      <c r="I27" s="3">
        <v>19000</v>
      </c>
      <c r="J27" s="3" t="s">
        <v>18</v>
      </c>
      <c r="K27" s="3">
        <v>900</v>
      </c>
      <c r="L27" s="6" t="s">
        <v>19</v>
      </c>
      <c r="M27" s="3">
        <f>Table14[[#This Row],[Quantity]]*Table14[[#This Row],[Unit_Price]]</f>
        <v>19000</v>
      </c>
    </row>
    <row r="28" spans="1:16">
      <c r="A28" s="5">
        <v>1018</v>
      </c>
      <c r="B28" s="4">
        <v>46031</v>
      </c>
      <c r="C28" s="3" t="s">
        <v>36</v>
      </c>
      <c r="D28" s="3" t="s">
        <v>37</v>
      </c>
      <c r="E28" s="3" t="s">
        <v>56</v>
      </c>
      <c r="F28" s="3" t="s">
        <v>23</v>
      </c>
      <c r="G28" s="3" t="s">
        <v>17</v>
      </c>
      <c r="H28" s="3">
        <v>1</v>
      </c>
      <c r="I28" s="3">
        <v>17000</v>
      </c>
      <c r="J28" s="3" t="s">
        <v>18</v>
      </c>
      <c r="K28" s="3">
        <v>900</v>
      </c>
      <c r="L28" s="6" t="s">
        <v>40</v>
      </c>
      <c r="M28" s="3">
        <f>Table14[[#This Row],[Quantity]]*Table14[[#This Row],[Unit_Price]]</f>
        <v>17000</v>
      </c>
    </row>
    <row r="29" spans="1:16">
      <c r="A29" s="5">
        <v>1026</v>
      </c>
      <c r="B29" s="4">
        <v>46035</v>
      </c>
      <c r="C29" s="3" t="s">
        <v>31</v>
      </c>
      <c r="D29" s="3" t="s">
        <v>43</v>
      </c>
      <c r="E29" s="3" t="s">
        <v>64</v>
      </c>
      <c r="F29" s="3" t="s">
        <v>34</v>
      </c>
      <c r="G29" s="3" t="s">
        <v>29</v>
      </c>
      <c r="H29" s="3">
        <v>2</v>
      </c>
      <c r="I29" s="3">
        <v>8500</v>
      </c>
      <c r="J29" s="3" t="s">
        <v>18</v>
      </c>
      <c r="K29" s="3">
        <v>800</v>
      </c>
      <c r="L29" s="6" t="s">
        <v>30</v>
      </c>
      <c r="M29" s="3">
        <f>Table14[[#This Row],[Quantity]]*Table14[[#This Row],[Unit_Price]]</f>
        <v>17000</v>
      </c>
      <c r="O29" t="s">
        <v>122</v>
      </c>
    </row>
    <row r="30" spans="1:16">
      <c r="A30" s="5">
        <v>1050</v>
      </c>
      <c r="B30" s="4">
        <v>46047</v>
      </c>
      <c r="C30" s="3" t="s">
        <v>31</v>
      </c>
      <c r="D30" s="3" t="s">
        <v>43</v>
      </c>
      <c r="E30" s="3" t="s">
        <v>15</v>
      </c>
      <c r="F30" s="3" t="s">
        <v>45</v>
      </c>
      <c r="G30" s="3" t="s">
        <v>29</v>
      </c>
      <c r="H30" s="3">
        <v>1</v>
      </c>
      <c r="I30" s="3">
        <v>15000</v>
      </c>
      <c r="J30" s="3" t="s">
        <v>18</v>
      </c>
      <c r="K30" s="3">
        <v>800</v>
      </c>
      <c r="L30" s="6" t="s">
        <v>30</v>
      </c>
      <c r="M30" s="3">
        <f>Table14[[#This Row],[Quantity]]*Table14[[#This Row],[Unit_Price]]</f>
        <v>15000</v>
      </c>
      <c r="O30" s="18" t="s">
        <v>16</v>
      </c>
      <c r="P30" s="18"/>
    </row>
    <row r="31" spans="1:16">
      <c r="A31" s="5">
        <v>1038</v>
      </c>
      <c r="B31" s="4">
        <v>46041</v>
      </c>
      <c r="C31" s="3" t="s">
        <v>31</v>
      </c>
      <c r="D31" s="3" t="s">
        <v>32</v>
      </c>
      <c r="E31" s="3" t="s">
        <v>76</v>
      </c>
      <c r="F31" s="3" t="s">
        <v>45</v>
      </c>
      <c r="G31" s="3" t="s">
        <v>29</v>
      </c>
      <c r="H31" s="3">
        <v>1</v>
      </c>
      <c r="I31" s="3">
        <v>15000</v>
      </c>
      <c r="J31" s="3" t="s">
        <v>18</v>
      </c>
      <c r="K31" s="3">
        <v>800</v>
      </c>
      <c r="L31" s="6" t="s">
        <v>30</v>
      </c>
      <c r="M31" s="3">
        <f>Table14[[#This Row],[Quantity]]*Table14[[#This Row],[Unit_Price]]</f>
        <v>15000</v>
      </c>
      <c r="O31" s="21" t="s">
        <v>6</v>
      </c>
      <c r="P31" t="s">
        <v>118</v>
      </c>
    </row>
    <row r="32" spans="1:16">
      <c r="A32" s="5">
        <v>1010</v>
      </c>
      <c r="B32" s="4">
        <v>46027</v>
      </c>
      <c r="C32" s="3" t="s">
        <v>36</v>
      </c>
      <c r="D32" s="3" t="s">
        <v>37</v>
      </c>
      <c r="E32" s="3" t="s">
        <v>48</v>
      </c>
      <c r="F32" s="3" t="s">
        <v>34</v>
      </c>
      <c r="G32" s="3" t="s">
        <v>29</v>
      </c>
      <c r="H32" s="3">
        <v>2</v>
      </c>
      <c r="I32" s="3">
        <v>7000</v>
      </c>
      <c r="J32" s="3" t="s">
        <v>18</v>
      </c>
      <c r="K32" s="3">
        <v>600</v>
      </c>
      <c r="L32" s="6" t="s">
        <v>40</v>
      </c>
      <c r="M32" s="3">
        <f>Table14[[#This Row],[Quantity]]*Table14[[#This Row],[Unit_Price]]</f>
        <v>14000</v>
      </c>
      <c r="O32" s="22" t="s">
        <v>28</v>
      </c>
      <c r="P32" s="23">
        <v>38500</v>
      </c>
    </row>
    <row r="33" spans="1:16">
      <c r="A33" s="5">
        <v>1045</v>
      </c>
      <c r="B33" s="4">
        <v>46045</v>
      </c>
      <c r="C33" s="3" t="s">
        <v>13</v>
      </c>
      <c r="D33" s="3" t="s">
        <v>14</v>
      </c>
      <c r="E33" s="3" t="s">
        <v>79</v>
      </c>
      <c r="F33" s="3" t="s">
        <v>45</v>
      </c>
      <c r="G33" s="3" t="s">
        <v>29</v>
      </c>
      <c r="H33" s="3">
        <v>1</v>
      </c>
      <c r="I33" s="3">
        <v>14000</v>
      </c>
      <c r="J33" s="3" t="s">
        <v>18</v>
      </c>
      <c r="K33" s="3">
        <v>700</v>
      </c>
      <c r="L33" s="6" t="s">
        <v>19</v>
      </c>
      <c r="M33" s="3">
        <f>Table14[[#This Row],[Quantity]]*Table14[[#This Row],[Unit_Price]]</f>
        <v>14000</v>
      </c>
      <c r="O33" s="22" t="s">
        <v>39</v>
      </c>
      <c r="P33" s="23">
        <v>6000</v>
      </c>
    </row>
    <row r="34" spans="1:16">
      <c r="A34" s="5">
        <v>1022</v>
      </c>
      <c r="B34" s="4">
        <v>46033</v>
      </c>
      <c r="C34" s="3" t="s">
        <v>13</v>
      </c>
      <c r="D34" s="3" t="s">
        <v>14</v>
      </c>
      <c r="E34" s="3" t="s">
        <v>60</v>
      </c>
      <c r="F34" s="3" t="s">
        <v>45</v>
      </c>
      <c r="G34" s="3" t="s">
        <v>29</v>
      </c>
      <c r="H34" s="3">
        <v>1</v>
      </c>
      <c r="I34" s="3">
        <v>14000</v>
      </c>
      <c r="J34" s="3" t="s">
        <v>18</v>
      </c>
      <c r="K34" s="3">
        <v>700</v>
      </c>
      <c r="L34" s="6" t="s">
        <v>30</v>
      </c>
      <c r="M34" s="3">
        <f>Table14[[#This Row],[Quantity]]*Table14[[#This Row],[Unit_Price]]</f>
        <v>14000</v>
      </c>
      <c r="O34" s="22" t="s">
        <v>16</v>
      </c>
      <c r="P34" s="23">
        <v>541000</v>
      </c>
    </row>
    <row r="35" spans="1:16">
      <c r="A35" s="5">
        <v>1033</v>
      </c>
      <c r="B35" s="4">
        <v>46039</v>
      </c>
      <c r="C35" s="3" t="s">
        <v>13</v>
      </c>
      <c r="D35" s="3" t="s">
        <v>26</v>
      </c>
      <c r="E35" s="3" t="s">
        <v>71</v>
      </c>
      <c r="F35" s="3" t="s">
        <v>45</v>
      </c>
      <c r="G35" s="3" t="s">
        <v>29</v>
      </c>
      <c r="H35" s="3">
        <v>1</v>
      </c>
      <c r="I35" s="3">
        <v>13000</v>
      </c>
      <c r="J35" s="3" t="s">
        <v>18</v>
      </c>
      <c r="K35" s="3">
        <v>700</v>
      </c>
      <c r="L35" s="6" t="s">
        <v>19</v>
      </c>
      <c r="M35" s="3">
        <f>Table14[[#This Row],[Quantity]]*Table14[[#This Row],[Unit_Price]]</f>
        <v>13000</v>
      </c>
      <c r="O35" s="22" t="s">
        <v>23</v>
      </c>
      <c r="P35" s="23">
        <v>335000</v>
      </c>
    </row>
    <row r="36" spans="1:16">
      <c r="A36" s="5">
        <v>1008</v>
      </c>
      <c r="B36" s="4">
        <v>46026</v>
      </c>
      <c r="C36" s="3" t="s">
        <v>31</v>
      </c>
      <c r="D36" s="3" t="s">
        <v>43</v>
      </c>
      <c r="E36" s="3" t="s">
        <v>44</v>
      </c>
      <c r="F36" s="3" t="s">
        <v>45</v>
      </c>
      <c r="G36" s="3" t="s">
        <v>29</v>
      </c>
      <c r="H36" s="3">
        <v>1</v>
      </c>
      <c r="I36" s="3">
        <v>12000</v>
      </c>
      <c r="J36" s="3" t="s">
        <v>18</v>
      </c>
      <c r="K36" s="3">
        <v>800</v>
      </c>
      <c r="L36" s="6" t="s">
        <v>30</v>
      </c>
      <c r="M36" s="3">
        <f>Table14[[#This Row],[Quantity]]*Table14[[#This Row],[Unit_Price]]</f>
        <v>12000</v>
      </c>
      <c r="O36" s="22" t="s">
        <v>45</v>
      </c>
      <c r="P36" s="23">
        <v>114000</v>
      </c>
    </row>
    <row r="37" spans="1:16">
      <c r="A37" s="5">
        <v>1019</v>
      </c>
      <c r="B37" s="4">
        <v>46032</v>
      </c>
      <c r="C37" s="3" t="s">
        <v>13</v>
      </c>
      <c r="D37" s="3" t="s">
        <v>26</v>
      </c>
      <c r="E37" s="3" t="s">
        <v>57</v>
      </c>
      <c r="F37" s="3" t="s">
        <v>34</v>
      </c>
      <c r="G37" s="3" t="s">
        <v>29</v>
      </c>
      <c r="H37" s="3">
        <v>1</v>
      </c>
      <c r="I37" s="3">
        <v>9000</v>
      </c>
      <c r="J37" s="3" t="s">
        <v>18</v>
      </c>
      <c r="K37" s="3">
        <v>400</v>
      </c>
      <c r="L37" s="6" t="s">
        <v>19</v>
      </c>
      <c r="M37" s="3">
        <f>Table14[[#This Row],[Quantity]]*Table14[[#This Row],[Unit_Price]]</f>
        <v>9000</v>
      </c>
      <c r="O37" s="22" t="s">
        <v>34</v>
      </c>
      <c r="P37" s="23">
        <v>57000</v>
      </c>
    </row>
    <row r="38" spans="1:16">
      <c r="A38" s="5">
        <v>1017</v>
      </c>
      <c r="B38" s="4">
        <v>46031</v>
      </c>
      <c r="C38" s="3" t="s">
        <v>31</v>
      </c>
      <c r="D38" s="3" t="s">
        <v>43</v>
      </c>
      <c r="E38" s="3" t="s">
        <v>55</v>
      </c>
      <c r="F38" s="3" t="s">
        <v>28</v>
      </c>
      <c r="G38" s="3" t="s">
        <v>29</v>
      </c>
      <c r="H38" s="3">
        <v>5</v>
      </c>
      <c r="I38" s="3">
        <v>1400</v>
      </c>
      <c r="J38" s="3" t="s">
        <v>18</v>
      </c>
      <c r="K38" s="3">
        <v>500</v>
      </c>
      <c r="L38" s="6" t="s">
        <v>30</v>
      </c>
      <c r="M38" s="3">
        <f>Table14[[#This Row],[Quantity]]*Table14[[#This Row],[Unit_Price]]</f>
        <v>7000</v>
      </c>
      <c r="O38" s="22" t="s">
        <v>47</v>
      </c>
      <c r="P38" s="23">
        <v>238000</v>
      </c>
    </row>
    <row r="39" spans="1:16">
      <c r="A39" s="5">
        <v>1005</v>
      </c>
      <c r="B39" s="4">
        <v>46025</v>
      </c>
      <c r="C39" s="3" t="s">
        <v>36</v>
      </c>
      <c r="D39" s="3" t="s">
        <v>37</v>
      </c>
      <c r="E39" s="3" t="s">
        <v>38</v>
      </c>
      <c r="F39" s="3" t="s">
        <v>39</v>
      </c>
      <c r="G39" s="3" t="s">
        <v>17</v>
      </c>
      <c r="H39" s="3">
        <v>3</v>
      </c>
      <c r="I39" s="3">
        <v>2000</v>
      </c>
      <c r="J39" s="3" t="s">
        <v>18</v>
      </c>
      <c r="K39" s="3">
        <v>200</v>
      </c>
      <c r="L39" s="6" t="s">
        <v>40</v>
      </c>
      <c r="M39" s="3">
        <f>Table14[[#This Row],[Quantity]]*Table14[[#This Row],[Unit_Price]]</f>
        <v>6000</v>
      </c>
      <c r="O39" s="22" t="s">
        <v>100</v>
      </c>
      <c r="P39" s="23">
        <v>1329500</v>
      </c>
    </row>
    <row r="40" spans="1:16">
      <c r="A40" s="5">
        <v>1003</v>
      </c>
      <c r="B40" s="4">
        <v>46024</v>
      </c>
      <c r="C40" s="3" t="s">
        <v>13</v>
      </c>
      <c r="D40" s="3" t="s">
        <v>26</v>
      </c>
      <c r="E40" s="3" t="s">
        <v>27</v>
      </c>
      <c r="F40" s="3" t="s">
        <v>28</v>
      </c>
      <c r="G40" s="3" t="s">
        <v>29</v>
      </c>
      <c r="H40" s="3">
        <v>4</v>
      </c>
      <c r="I40" s="3">
        <v>1500</v>
      </c>
      <c r="J40" s="3" t="s">
        <v>18</v>
      </c>
      <c r="K40" s="3">
        <v>500</v>
      </c>
      <c r="L40" s="6" t="s">
        <v>30</v>
      </c>
      <c r="M40" s="3">
        <f>Table14[[#This Row],[Quantity]]*Table14[[#This Row],[Unit_Price]]</f>
        <v>6000</v>
      </c>
    </row>
    <row r="41" spans="1:16">
      <c r="A41" s="5">
        <v>1035</v>
      </c>
      <c r="B41" s="4">
        <v>46040</v>
      </c>
      <c r="C41" s="3" t="s">
        <v>36</v>
      </c>
      <c r="D41" s="3" t="s">
        <v>37</v>
      </c>
      <c r="E41" s="3" t="s">
        <v>73</v>
      </c>
      <c r="F41" s="3" t="s">
        <v>28</v>
      </c>
      <c r="G41" s="3" t="s">
        <v>29</v>
      </c>
      <c r="H41" s="3">
        <v>4</v>
      </c>
      <c r="I41" s="3">
        <v>1400</v>
      </c>
      <c r="J41" s="3" t="s">
        <v>18</v>
      </c>
      <c r="K41" s="3">
        <v>400</v>
      </c>
      <c r="L41" s="6" t="s">
        <v>40</v>
      </c>
      <c r="M41" s="3">
        <f>Table14[[#This Row],[Quantity]]*Table14[[#This Row],[Unit_Price]]</f>
        <v>5600</v>
      </c>
      <c r="O41" s="21" t="s">
        <v>10</v>
      </c>
      <c r="P41" t="s">
        <v>123</v>
      </c>
    </row>
    <row r="42" spans="1:16">
      <c r="A42" s="5">
        <v>1042</v>
      </c>
      <c r="B42" s="4">
        <v>46043</v>
      </c>
      <c r="C42" s="3" t="s">
        <v>31</v>
      </c>
      <c r="D42" s="3" t="s">
        <v>43</v>
      </c>
      <c r="E42" s="3" t="s">
        <v>51</v>
      </c>
      <c r="F42" s="3" t="s">
        <v>28</v>
      </c>
      <c r="G42" s="3" t="s">
        <v>29</v>
      </c>
      <c r="H42" s="3">
        <v>3</v>
      </c>
      <c r="I42" s="3">
        <v>1500</v>
      </c>
      <c r="J42" s="3" t="s">
        <v>18</v>
      </c>
      <c r="K42" s="3">
        <v>300</v>
      </c>
      <c r="L42" s="6" t="s">
        <v>30</v>
      </c>
      <c r="M42" s="3">
        <f>Table14[[#This Row],[Quantity]]*Table14[[#This Row],[Unit_Price]]</f>
        <v>4500</v>
      </c>
      <c r="O42" s="22" t="s">
        <v>35</v>
      </c>
      <c r="P42" s="23">
        <v>4</v>
      </c>
    </row>
    <row r="43" spans="1:16">
      <c r="A43" s="5">
        <v>1030</v>
      </c>
      <c r="B43" s="4">
        <v>46037</v>
      </c>
      <c r="C43" s="3" t="s">
        <v>31</v>
      </c>
      <c r="D43" s="3" t="s">
        <v>32</v>
      </c>
      <c r="E43" s="3" t="s">
        <v>68</v>
      </c>
      <c r="F43" s="3" t="s">
        <v>28</v>
      </c>
      <c r="G43" s="3" t="s">
        <v>29</v>
      </c>
      <c r="H43" s="3">
        <v>3</v>
      </c>
      <c r="I43" s="3">
        <v>1500</v>
      </c>
      <c r="J43" s="3" t="s">
        <v>18</v>
      </c>
      <c r="K43" s="3">
        <v>300</v>
      </c>
      <c r="L43" s="6" t="s">
        <v>30</v>
      </c>
      <c r="M43" s="3">
        <f>Table14[[#This Row],[Quantity]]*Table14[[#This Row],[Unit_Price]]</f>
        <v>4500</v>
      </c>
      <c r="O43" s="22" t="s">
        <v>18</v>
      </c>
      <c r="P43" s="23">
        <v>36</v>
      </c>
    </row>
    <row r="44" spans="1:16">
      <c r="A44" s="5">
        <v>1012</v>
      </c>
      <c r="B44" s="4">
        <v>46028</v>
      </c>
      <c r="C44" s="3" t="s">
        <v>31</v>
      </c>
      <c r="D44" s="3" t="s">
        <v>32</v>
      </c>
      <c r="E44" s="3" t="s">
        <v>50</v>
      </c>
      <c r="F44" s="3" t="s">
        <v>28</v>
      </c>
      <c r="G44" s="3" t="s">
        <v>29</v>
      </c>
      <c r="H44" s="3">
        <v>3</v>
      </c>
      <c r="I44" s="3">
        <v>1500</v>
      </c>
      <c r="J44" s="3" t="s">
        <v>18</v>
      </c>
      <c r="K44" s="3">
        <v>300</v>
      </c>
      <c r="L44" s="6" t="s">
        <v>30</v>
      </c>
      <c r="M44" s="3">
        <f>Table14[[#This Row],[Quantity]]*Table14[[#This Row],[Unit_Price]]</f>
        <v>4500</v>
      </c>
      <c r="O44" s="22" t="s">
        <v>24</v>
      </c>
      <c r="P44" s="23">
        <v>10</v>
      </c>
    </row>
    <row r="45" spans="1:16">
      <c r="A45" s="5">
        <v>1047</v>
      </c>
      <c r="B45" s="4">
        <v>46046</v>
      </c>
      <c r="C45" s="3" t="s">
        <v>36</v>
      </c>
      <c r="D45" s="3" t="s">
        <v>37</v>
      </c>
      <c r="E45" s="3" t="s">
        <v>59</v>
      </c>
      <c r="F45" s="3" t="s">
        <v>28</v>
      </c>
      <c r="G45" s="3" t="s">
        <v>29</v>
      </c>
      <c r="H45" s="3">
        <v>2</v>
      </c>
      <c r="I45" s="3">
        <v>1600</v>
      </c>
      <c r="J45" s="3" t="s">
        <v>18</v>
      </c>
      <c r="K45" s="3">
        <v>200</v>
      </c>
      <c r="L45" s="6" t="s">
        <v>40</v>
      </c>
      <c r="M45" s="3">
        <f>Table14[[#This Row],[Quantity]]*Table14[[#This Row],[Unit_Price]]</f>
        <v>3200</v>
      </c>
      <c r="O45" s="22" t="s">
        <v>100</v>
      </c>
      <c r="P45" s="23">
        <v>50</v>
      </c>
    </row>
    <row r="46" spans="1:16">
      <c r="A46" s="5">
        <v>1023</v>
      </c>
      <c r="B46" s="4">
        <v>46034</v>
      </c>
      <c r="C46" s="3" t="s">
        <v>36</v>
      </c>
      <c r="D46" s="3" t="s">
        <v>37</v>
      </c>
      <c r="E46" s="3" t="s">
        <v>61</v>
      </c>
      <c r="F46" s="3" t="s">
        <v>28</v>
      </c>
      <c r="G46" s="3" t="s">
        <v>29</v>
      </c>
      <c r="H46" s="3">
        <v>2</v>
      </c>
      <c r="I46" s="3">
        <v>1600</v>
      </c>
      <c r="J46" s="3" t="s">
        <v>18</v>
      </c>
      <c r="K46" s="3">
        <v>200</v>
      </c>
      <c r="L46" s="6" t="s">
        <v>40</v>
      </c>
      <c r="M46" s="3">
        <f>Table14[[#This Row],[Quantity]]*Table14[[#This Row],[Unit_Price]]</f>
        <v>3200</v>
      </c>
    </row>
    <row r="47" spans="1:16">
      <c r="A47" s="5">
        <v>1020</v>
      </c>
      <c r="B47" s="4">
        <v>46032</v>
      </c>
      <c r="C47" s="3" t="s">
        <v>20</v>
      </c>
      <c r="D47" s="3" t="s">
        <v>21</v>
      </c>
      <c r="E47" s="3" t="s">
        <v>58</v>
      </c>
      <c r="F47" s="3" t="s">
        <v>16</v>
      </c>
      <c r="G47" s="3" t="s">
        <v>17</v>
      </c>
      <c r="H47" s="3">
        <v>1</v>
      </c>
      <c r="I47" s="3">
        <v>58000</v>
      </c>
      <c r="J47" s="3" t="s">
        <v>24</v>
      </c>
      <c r="K47" s="3">
        <v>2500</v>
      </c>
      <c r="L47" s="6" t="s">
        <v>25</v>
      </c>
      <c r="M47" s="3">
        <f>Table14[[#This Row],[Quantity]]*Table14[[#This Row],[Unit_Price]]</f>
        <v>58000</v>
      </c>
    </row>
    <row r="48" spans="1:16">
      <c r="A48" s="5">
        <v>1024</v>
      </c>
      <c r="B48" s="4">
        <v>46034</v>
      </c>
      <c r="C48" s="3" t="s">
        <v>20</v>
      </c>
      <c r="D48" s="3" t="s">
        <v>21</v>
      </c>
      <c r="E48" s="3" t="s">
        <v>62</v>
      </c>
      <c r="F48" s="3" t="s">
        <v>23</v>
      </c>
      <c r="G48" s="3" t="s">
        <v>17</v>
      </c>
      <c r="H48" s="3">
        <v>3</v>
      </c>
      <c r="I48" s="3">
        <v>19000</v>
      </c>
      <c r="J48" s="3" t="s">
        <v>24</v>
      </c>
      <c r="K48" s="3">
        <v>1800</v>
      </c>
      <c r="L48" s="6" t="s">
        <v>25</v>
      </c>
      <c r="M48" s="3">
        <f>Table14[[#This Row],[Quantity]]*Table14[[#This Row],[Unit_Price]]</f>
        <v>57000</v>
      </c>
      <c r="O48" s="21" t="s">
        <v>10</v>
      </c>
      <c r="P48" t="s">
        <v>118</v>
      </c>
    </row>
    <row r="49" spans="1:16">
      <c r="A49" s="5">
        <v>1036</v>
      </c>
      <c r="B49" s="4">
        <v>46040</v>
      </c>
      <c r="C49" s="3" t="s">
        <v>20</v>
      </c>
      <c r="D49" s="3" t="s">
        <v>21</v>
      </c>
      <c r="E49" s="3" t="s">
        <v>74</v>
      </c>
      <c r="F49" s="3" t="s">
        <v>16</v>
      </c>
      <c r="G49" s="3" t="s">
        <v>17</v>
      </c>
      <c r="H49" s="3">
        <v>1</v>
      </c>
      <c r="I49" s="3">
        <v>54000</v>
      </c>
      <c r="J49" s="3" t="s">
        <v>24</v>
      </c>
      <c r="K49" s="3">
        <v>2300</v>
      </c>
      <c r="L49" s="6" t="s">
        <v>25</v>
      </c>
      <c r="M49" s="3">
        <f>Table14[[#This Row],[Quantity]]*Table14[[#This Row],[Unit_Price]]</f>
        <v>54000</v>
      </c>
      <c r="O49" s="22" t="s">
        <v>26</v>
      </c>
      <c r="P49" s="23">
        <v>198000</v>
      </c>
    </row>
    <row r="50" spans="1:16">
      <c r="A50" s="5">
        <v>1011</v>
      </c>
      <c r="B50" s="4">
        <v>46028</v>
      </c>
      <c r="C50" s="3" t="s">
        <v>20</v>
      </c>
      <c r="D50" s="3" t="s">
        <v>21</v>
      </c>
      <c r="E50" s="3" t="s">
        <v>49</v>
      </c>
      <c r="F50" s="3" t="s">
        <v>16</v>
      </c>
      <c r="G50" s="3" t="s">
        <v>17</v>
      </c>
      <c r="H50" s="3">
        <v>1</v>
      </c>
      <c r="I50" s="3">
        <v>52000</v>
      </c>
      <c r="J50" s="3" t="s">
        <v>24</v>
      </c>
      <c r="K50" s="3">
        <v>2200</v>
      </c>
      <c r="L50" s="6" t="s">
        <v>25</v>
      </c>
      <c r="M50" s="3">
        <f>Table14[[#This Row],[Quantity]]*Table14[[#This Row],[Unit_Price]]</f>
        <v>52000</v>
      </c>
      <c r="O50" s="22" t="s">
        <v>14</v>
      </c>
      <c r="P50" s="23">
        <v>297000</v>
      </c>
    </row>
    <row r="51" spans="1:16">
      <c r="A51" s="5">
        <v>1044</v>
      </c>
      <c r="B51" s="4">
        <v>46044</v>
      </c>
      <c r="C51" s="3" t="s">
        <v>20</v>
      </c>
      <c r="D51" s="3" t="s">
        <v>21</v>
      </c>
      <c r="E51" s="3" t="s">
        <v>53</v>
      </c>
      <c r="F51" s="3" t="s">
        <v>23</v>
      </c>
      <c r="G51" s="3" t="s">
        <v>17</v>
      </c>
      <c r="H51" s="3">
        <v>2</v>
      </c>
      <c r="I51" s="3">
        <v>21000</v>
      </c>
      <c r="J51" s="3" t="s">
        <v>24</v>
      </c>
      <c r="K51" s="3">
        <v>1600</v>
      </c>
      <c r="L51" s="6" t="s">
        <v>25</v>
      </c>
      <c r="M51" s="3">
        <f>Table14[[#This Row],[Quantity]]*Table14[[#This Row],[Unit_Price]]</f>
        <v>42000</v>
      </c>
      <c r="O51" s="22" t="s">
        <v>21</v>
      </c>
      <c r="P51" s="23">
        <v>435000</v>
      </c>
    </row>
    <row r="52" spans="1:16">
      <c r="A52" s="5">
        <v>1002</v>
      </c>
      <c r="B52" s="4">
        <v>46023</v>
      </c>
      <c r="C52" s="3" t="s">
        <v>20</v>
      </c>
      <c r="D52" s="3" t="s">
        <v>21</v>
      </c>
      <c r="E52" s="3" t="s">
        <v>22</v>
      </c>
      <c r="F52" s="3" t="s">
        <v>23</v>
      </c>
      <c r="G52" s="3" t="s">
        <v>17</v>
      </c>
      <c r="H52" s="3">
        <v>2</v>
      </c>
      <c r="I52" s="3">
        <v>20000</v>
      </c>
      <c r="J52" s="3" t="s">
        <v>24</v>
      </c>
      <c r="K52" s="3">
        <v>1500</v>
      </c>
      <c r="L52" s="6" t="s">
        <v>25</v>
      </c>
      <c r="M52" s="3">
        <f>Table14[[#This Row],[Quantity]]*Table14[[#This Row],[Unit_Price]]</f>
        <v>40000</v>
      </c>
      <c r="O52" s="22" t="s">
        <v>37</v>
      </c>
      <c r="P52" s="23">
        <v>208000</v>
      </c>
    </row>
    <row r="53" spans="1:16">
      <c r="A53" s="5">
        <v>1032</v>
      </c>
      <c r="B53" s="4">
        <v>46038</v>
      </c>
      <c r="C53" s="3" t="s">
        <v>20</v>
      </c>
      <c r="D53" s="3" t="s">
        <v>21</v>
      </c>
      <c r="E53" s="3" t="s">
        <v>70</v>
      </c>
      <c r="F53" s="3" t="s">
        <v>47</v>
      </c>
      <c r="G53" s="3" t="s">
        <v>17</v>
      </c>
      <c r="H53" s="3">
        <v>1</v>
      </c>
      <c r="I53" s="3">
        <v>31000</v>
      </c>
      <c r="J53" s="3" t="s">
        <v>24</v>
      </c>
      <c r="K53" s="3">
        <v>1500</v>
      </c>
      <c r="L53" s="6" t="s">
        <v>25</v>
      </c>
      <c r="M53" s="3">
        <f>Table14[[#This Row],[Quantity]]*Table14[[#This Row],[Unit_Price]]</f>
        <v>31000</v>
      </c>
      <c r="O53" s="22" t="s">
        <v>32</v>
      </c>
      <c r="P53" s="23">
        <v>116000</v>
      </c>
    </row>
    <row r="54" spans="1:16">
      <c r="A54" s="5">
        <v>1048</v>
      </c>
      <c r="B54" s="4">
        <v>46046</v>
      </c>
      <c r="C54" s="3" t="s">
        <v>20</v>
      </c>
      <c r="D54" s="3" t="s">
        <v>21</v>
      </c>
      <c r="E54" s="3" t="s">
        <v>33</v>
      </c>
      <c r="F54" s="3" t="s">
        <v>47</v>
      </c>
      <c r="G54" s="3" t="s">
        <v>17</v>
      </c>
      <c r="H54" s="3">
        <v>1</v>
      </c>
      <c r="I54" s="3">
        <v>30000</v>
      </c>
      <c r="J54" s="3" t="s">
        <v>24</v>
      </c>
      <c r="K54" s="3">
        <v>1400</v>
      </c>
      <c r="L54" s="6" t="s">
        <v>25</v>
      </c>
      <c r="M54" s="3">
        <f>Table14[[#This Row],[Quantity]]*Table14[[#This Row],[Unit_Price]]</f>
        <v>30000</v>
      </c>
      <c r="O54" s="22" t="s">
        <v>43</v>
      </c>
      <c r="P54" s="23">
        <v>75500</v>
      </c>
    </row>
    <row r="55" spans="1:16">
      <c r="A55" s="5">
        <v>1015</v>
      </c>
      <c r="B55" s="4">
        <v>46030</v>
      </c>
      <c r="C55" s="3" t="s">
        <v>20</v>
      </c>
      <c r="D55" s="3" t="s">
        <v>21</v>
      </c>
      <c r="E55" s="3" t="s">
        <v>53</v>
      </c>
      <c r="F55" s="3" t="s">
        <v>47</v>
      </c>
      <c r="G55" s="3" t="s">
        <v>17</v>
      </c>
      <c r="H55" s="3">
        <v>1</v>
      </c>
      <c r="I55" s="3">
        <v>28000</v>
      </c>
      <c r="J55" s="3" t="s">
        <v>24</v>
      </c>
      <c r="K55" s="3">
        <v>1300</v>
      </c>
      <c r="L55" s="6" t="s">
        <v>25</v>
      </c>
      <c r="M55" s="3">
        <f>Table14[[#This Row],[Quantity]]*Table14[[#This Row],[Unit_Price]]</f>
        <v>28000</v>
      </c>
      <c r="O55" s="22" t="s">
        <v>100</v>
      </c>
      <c r="P55" s="23">
        <v>1329500</v>
      </c>
    </row>
    <row r="56" spans="1:16">
      <c r="A56" s="10">
        <v>1007</v>
      </c>
      <c r="B56" s="11">
        <v>46026</v>
      </c>
      <c r="C56" s="12" t="s">
        <v>20</v>
      </c>
      <c r="D56" s="12" t="s">
        <v>21</v>
      </c>
      <c r="E56" s="12" t="s">
        <v>42</v>
      </c>
      <c r="F56" s="12" t="s">
        <v>23</v>
      </c>
      <c r="G56" s="12" t="s">
        <v>17</v>
      </c>
      <c r="H56" s="12">
        <v>1</v>
      </c>
      <c r="I56" s="12">
        <v>18000</v>
      </c>
      <c r="J56" s="12" t="s">
        <v>24</v>
      </c>
      <c r="K56" s="12">
        <v>1200</v>
      </c>
      <c r="L56" s="13" t="s">
        <v>25</v>
      </c>
      <c r="M56" s="12">
        <f>Table14[[#This Row],[Quantity]]*Table14[[#This Row],[Unit_Price]]</f>
        <v>18000</v>
      </c>
    </row>
    <row r="59" spans="1:16">
      <c r="H59" t="s">
        <v>126</v>
      </c>
      <c r="I59" s="24">
        <v>1329500</v>
      </c>
      <c r="J59" s="24"/>
      <c r="M59" t="s">
        <v>131</v>
      </c>
    </row>
    <row r="60" spans="1:16">
      <c r="H60" t="s">
        <v>127</v>
      </c>
    </row>
    <row r="61" spans="1:16">
      <c r="H61" t="s">
        <v>128</v>
      </c>
    </row>
    <row r="62" spans="1:16">
      <c r="H62" t="s">
        <v>124</v>
      </c>
    </row>
    <row r="63" spans="1:16">
      <c r="H63" t="s">
        <v>125</v>
      </c>
    </row>
    <row r="64" spans="1:16">
      <c r="H64" t="s">
        <v>129</v>
      </c>
    </row>
    <row r="65" spans="8:8">
      <c r="H65" t="s">
        <v>130</v>
      </c>
    </row>
  </sheetData>
  <mergeCells count="6">
    <mergeCell ref="A1:D1"/>
    <mergeCell ref="B4:D4"/>
    <mergeCell ref="O21:P21"/>
    <mergeCell ref="O12:P12"/>
    <mergeCell ref="O22:P22"/>
    <mergeCell ref="O30:P30"/>
  </mergeCells>
  <phoneticPr fontId="7" type="noConversion"/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18E9-E6A1-424B-8492-29693BB1BB40}">
  <dimension ref="F1:F3"/>
  <sheetViews>
    <sheetView tabSelected="1" workbookViewId="0">
      <selection activeCell="I5" sqref="I5"/>
    </sheetView>
  </sheetViews>
  <sheetFormatPr defaultRowHeight="14.4"/>
  <sheetData>
    <row r="1" spans="6:6">
      <c r="F1" t="s">
        <v>156</v>
      </c>
    </row>
    <row r="3" spans="6:6">
      <c r="F3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A630-3DB7-42D7-BEB9-17BB3D3AE7D2}">
  <sheetPr codeName="Sheet1"/>
  <dimension ref="A1:AA181"/>
  <sheetViews>
    <sheetView zoomScale="72" workbookViewId="0">
      <selection activeCell="R9" sqref="A9:XFD9"/>
    </sheetView>
  </sheetViews>
  <sheetFormatPr defaultRowHeight="14.4"/>
  <cols>
    <col min="2" max="2" width="14.44140625" customWidth="1"/>
    <col min="10" max="10" width="18.77734375" customWidth="1"/>
    <col min="14" max="14" width="11.33203125" customWidth="1"/>
    <col min="15" max="15" width="12.5546875" hidden="1" customWidth="1"/>
    <col min="16" max="16" width="26.88671875" customWidth="1"/>
    <col min="17" max="17" width="14.44140625" bestFit="1" customWidth="1"/>
    <col min="18" max="18" width="13.5546875" bestFit="1" customWidth="1"/>
    <col min="27" max="27" width="41.33203125" customWidth="1"/>
  </cols>
  <sheetData>
    <row r="1" spans="1:27" ht="23.4" customHeight="1">
      <c r="F1" s="25"/>
      <c r="G1" s="35" t="s">
        <v>137</v>
      </c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27" ht="18">
      <c r="F2" s="25"/>
      <c r="P2" s="27" t="s">
        <v>136</v>
      </c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>
      <c r="F3" s="25"/>
    </row>
    <row r="6" spans="1:27">
      <c r="A6" s="7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8" t="s">
        <v>10</v>
      </c>
      <c r="K6" s="8" t="s">
        <v>11</v>
      </c>
      <c r="L6" s="9" t="s">
        <v>12</v>
      </c>
      <c r="M6" s="8" t="s">
        <v>81</v>
      </c>
      <c r="N6" s="8" t="s">
        <v>141</v>
      </c>
      <c r="T6" s="2" t="s">
        <v>154</v>
      </c>
      <c r="U6" s="3"/>
      <c r="V6" s="3"/>
      <c r="W6" s="3"/>
    </row>
    <row r="7" spans="1:27">
      <c r="A7" s="5">
        <v>1016</v>
      </c>
      <c r="B7" s="4">
        <v>46030</v>
      </c>
      <c r="C7" s="3" t="s">
        <v>13</v>
      </c>
      <c r="D7" s="3" t="s">
        <v>14</v>
      </c>
      <c r="E7" s="3" t="s">
        <v>54</v>
      </c>
      <c r="F7" s="3" t="s">
        <v>16</v>
      </c>
      <c r="G7" s="3" t="s">
        <v>17</v>
      </c>
      <c r="H7" s="3">
        <v>1</v>
      </c>
      <c r="I7" s="3">
        <v>60000</v>
      </c>
      <c r="J7" s="3" t="s">
        <v>18</v>
      </c>
      <c r="K7" s="3">
        <v>3000</v>
      </c>
      <c r="L7" s="6" t="s">
        <v>19</v>
      </c>
      <c r="M7" s="19">
        <f>Table16[[#This Row],[Quantity]]*Table16[[#This Row],[Unit_Price]]</f>
        <v>60000</v>
      </c>
      <c r="N7" s="19">
        <f>Table16[[#This Row],[Revenue2]]-Table16[[#This Row],[Expense]]</f>
        <v>57000</v>
      </c>
      <c r="O7" s="2">
        <f>SUM(Table16[Revenue2])</f>
        <v>1329500</v>
      </c>
      <c r="P7" s="2" t="s">
        <v>116</v>
      </c>
      <c r="Q7" s="1"/>
      <c r="T7" s="3"/>
      <c r="U7" s="3"/>
      <c r="V7" s="3"/>
      <c r="W7" s="3"/>
    </row>
    <row r="8" spans="1:27">
      <c r="A8" s="5">
        <v>1020</v>
      </c>
      <c r="B8" s="4">
        <v>46032</v>
      </c>
      <c r="C8" s="3" t="s">
        <v>20</v>
      </c>
      <c r="D8" s="3" t="s">
        <v>21</v>
      </c>
      <c r="E8" s="3" t="s">
        <v>58</v>
      </c>
      <c r="F8" s="3" t="s">
        <v>16</v>
      </c>
      <c r="G8" s="3" t="s">
        <v>17</v>
      </c>
      <c r="H8" s="3">
        <v>1</v>
      </c>
      <c r="I8" s="3">
        <v>58000</v>
      </c>
      <c r="J8" s="3" t="s">
        <v>24</v>
      </c>
      <c r="K8" s="3">
        <v>2500</v>
      </c>
      <c r="L8" s="6" t="s">
        <v>25</v>
      </c>
      <c r="M8" s="3">
        <f>Table16[[#This Row],[Quantity]]*Table16[[#This Row],[Unit_Price]]</f>
        <v>58000</v>
      </c>
      <c r="N8" s="3">
        <f>Table16[[#This Row],[Revenue2]]-Table16[[#This Row],[Expense]]</f>
        <v>55500</v>
      </c>
      <c r="O8" s="2">
        <f>SUM(Table16[Expense])</f>
        <v>59100</v>
      </c>
      <c r="P8" s="2" t="s">
        <v>117</v>
      </c>
      <c r="Q8" s="1"/>
      <c r="T8" s="3" t="s">
        <v>146</v>
      </c>
      <c r="U8" s="3"/>
      <c r="V8" s="3"/>
      <c r="W8" s="3"/>
    </row>
    <row r="9" spans="1:27">
      <c r="A9" s="5">
        <v>1024</v>
      </c>
      <c r="B9" s="4">
        <v>46034</v>
      </c>
      <c r="C9" s="3" t="s">
        <v>20</v>
      </c>
      <c r="D9" s="3" t="s">
        <v>21</v>
      </c>
      <c r="E9" s="3" t="s">
        <v>62</v>
      </c>
      <c r="F9" s="3" t="s">
        <v>23</v>
      </c>
      <c r="G9" s="3" t="s">
        <v>17</v>
      </c>
      <c r="H9" s="3">
        <v>3</v>
      </c>
      <c r="I9" s="3">
        <v>19000</v>
      </c>
      <c r="J9" s="3" t="s">
        <v>24</v>
      </c>
      <c r="K9" s="3">
        <v>1800</v>
      </c>
      <c r="L9" s="6" t="s">
        <v>25</v>
      </c>
      <c r="M9" s="3">
        <f>Table16[[#This Row],[Quantity]]*Table16[[#This Row],[Unit_Price]]</f>
        <v>57000</v>
      </c>
      <c r="N9" s="3">
        <f>Table16[[#This Row],[Revenue2]]-Table16[[#This Row],[Expense]]</f>
        <v>55200</v>
      </c>
      <c r="O9" s="2">
        <f>O7-O8</f>
        <v>1270400</v>
      </c>
      <c r="P9" s="2" t="s">
        <v>138</v>
      </c>
      <c r="Q9" s="1"/>
      <c r="R9" t="s">
        <v>155</v>
      </c>
      <c r="T9" s="3" t="s">
        <v>147</v>
      </c>
      <c r="U9" s="3"/>
      <c r="V9" s="3"/>
      <c r="W9" s="3"/>
    </row>
    <row r="10" spans="1:27">
      <c r="A10" s="5">
        <v>1041</v>
      </c>
      <c r="B10" s="4">
        <v>46043</v>
      </c>
      <c r="C10" s="3" t="s">
        <v>13</v>
      </c>
      <c r="D10" s="3" t="s">
        <v>26</v>
      </c>
      <c r="E10" s="3" t="s">
        <v>78</v>
      </c>
      <c r="F10" s="3" t="s">
        <v>16</v>
      </c>
      <c r="G10" s="3" t="s">
        <v>17</v>
      </c>
      <c r="H10" s="3">
        <v>1</v>
      </c>
      <c r="I10" s="3">
        <v>56000</v>
      </c>
      <c r="J10" s="3" t="s">
        <v>18</v>
      </c>
      <c r="K10" s="3">
        <v>2500</v>
      </c>
      <c r="L10" s="6" t="s">
        <v>19</v>
      </c>
      <c r="M10" s="3">
        <f>Table16[[#This Row],[Quantity]]*Table16[[#This Row],[Unit_Price]]</f>
        <v>56000</v>
      </c>
      <c r="N10" s="3">
        <f>Table16[[#This Row],[Revenue2]]-Table16[[#This Row],[Expense]]</f>
        <v>53500</v>
      </c>
      <c r="T10" s="3" t="s">
        <v>148</v>
      </c>
      <c r="U10" s="3"/>
      <c r="V10" s="3"/>
      <c r="W10" s="3"/>
    </row>
    <row r="11" spans="1:27">
      <c r="A11" s="5">
        <v>1006</v>
      </c>
      <c r="B11" s="4">
        <v>46025</v>
      </c>
      <c r="C11" s="3" t="s">
        <v>13</v>
      </c>
      <c r="D11" s="3" t="s">
        <v>14</v>
      </c>
      <c r="E11" s="3" t="s">
        <v>41</v>
      </c>
      <c r="F11" s="3" t="s">
        <v>16</v>
      </c>
      <c r="G11" s="3" t="s">
        <v>17</v>
      </c>
      <c r="H11" s="3">
        <v>1</v>
      </c>
      <c r="I11" s="3">
        <v>55000</v>
      </c>
      <c r="J11" s="3" t="s">
        <v>18</v>
      </c>
      <c r="K11" s="3">
        <v>2500</v>
      </c>
      <c r="L11" s="6" t="s">
        <v>19</v>
      </c>
      <c r="M11" s="3">
        <f>Table16[[#This Row],[Quantity]]*Table16[[#This Row],[Unit_Price]]</f>
        <v>55000</v>
      </c>
      <c r="N11" s="3">
        <f>Table16[[#This Row],[Revenue2]]-Table16[[#This Row],[Expense]]</f>
        <v>52500</v>
      </c>
      <c r="T11" s="3" t="s">
        <v>149</v>
      </c>
      <c r="U11" s="3"/>
      <c r="V11" s="3"/>
      <c r="W11" s="3"/>
    </row>
    <row r="12" spans="1:27">
      <c r="A12" s="5">
        <v>1036</v>
      </c>
      <c r="B12" s="4">
        <v>46040</v>
      </c>
      <c r="C12" s="3" t="s">
        <v>20</v>
      </c>
      <c r="D12" s="3" t="s">
        <v>21</v>
      </c>
      <c r="E12" s="3" t="s">
        <v>74</v>
      </c>
      <c r="F12" s="3" t="s">
        <v>16</v>
      </c>
      <c r="G12" s="3" t="s">
        <v>17</v>
      </c>
      <c r="H12" s="3">
        <v>1</v>
      </c>
      <c r="I12" s="3">
        <v>54000</v>
      </c>
      <c r="J12" s="3" t="s">
        <v>24</v>
      </c>
      <c r="K12" s="3">
        <v>2300</v>
      </c>
      <c r="L12" s="6" t="s">
        <v>25</v>
      </c>
      <c r="M12" s="3">
        <f>Table16[[#This Row],[Quantity]]*Table16[[#This Row],[Unit_Price]]</f>
        <v>54000</v>
      </c>
      <c r="N12" s="3">
        <f>Table16[[#This Row],[Revenue2]]-Table16[[#This Row],[Expense]]</f>
        <v>51700</v>
      </c>
      <c r="O12" s="38" t="s">
        <v>139</v>
      </c>
      <c r="P12" s="39"/>
      <c r="Q12" s="1"/>
    </row>
    <row r="13" spans="1:27">
      <c r="A13" s="5">
        <v>1025</v>
      </c>
      <c r="B13" s="4">
        <v>46035</v>
      </c>
      <c r="C13" s="3" t="s">
        <v>13</v>
      </c>
      <c r="D13" s="3" t="s">
        <v>26</v>
      </c>
      <c r="E13" s="3" t="s">
        <v>63</v>
      </c>
      <c r="F13" s="3" t="s">
        <v>16</v>
      </c>
      <c r="G13" s="3" t="s">
        <v>17</v>
      </c>
      <c r="H13" s="3">
        <v>1</v>
      </c>
      <c r="I13" s="3">
        <v>53000</v>
      </c>
      <c r="J13" s="3" t="s">
        <v>18</v>
      </c>
      <c r="K13" s="3">
        <v>2100</v>
      </c>
      <c r="L13" s="6" t="s">
        <v>19</v>
      </c>
      <c r="M13" s="3">
        <f>Table16[[#This Row],[Quantity]]*Table16[[#This Row],[Unit_Price]]</f>
        <v>53000</v>
      </c>
      <c r="N13" s="3">
        <f>Table16[[#This Row],[Revenue2]]-Table16[[#This Row],[Expense]]</f>
        <v>50900</v>
      </c>
      <c r="O13" s="3"/>
      <c r="P13" s="3"/>
    </row>
    <row r="14" spans="1:27">
      <c r="A14" s="5">
        <v>1046</v>
      </c>
      <c r="B14" s="4">
        <v>46045</v>
      </c>
      <c r="C14" s="3" t="s">
        <v>31</v>
      </c>
      <c r="D14" s="3" t="s">
        <v>32</v>
      </c>
      <c r="E14" s="3" t="s">
        <v>80</v>
      </c>
      <c r="F14" s="3" t="s">
        <v>16</v>
      </c>
      <c r="G14" s="3" t="s">
        <v>17</v>
      </c>
      <c r="H14" s="3">
        <v>1</v>
      </c>
      <c r="I14" s="3">
        <v>52000</v>
      </c>
      <c r="J14" s="3" t="s">
        <v>18</v>
      </c>
      <c r="K14" s="3">
        <v>2200</v>
      </c>
      <c r="L14" s="6" t="s">
        <v>30</v>
      </c>
      <c r="M14" s="3">
        <f>Table16[[#This Row],[Quantity]]*Table16[[#This Row],[Unit_Price]]</f>
        <v>52000</v>
      </c>
      <c r="N14" s="3">
        <f>Table16[[#This Row],[Revenue2]]-Table16[[#This Row],[Expense]]</f>
        <v>49800</v>
      </c>
      <c r="O14" s="3">
        <f>SUM(O7)</f>
        <v>1329500</v>
      </c>
      <c r="P14" s="3"/>
    </row>
    <row r="15" spans="1:27" ht="31.2">
      <c r="A15" s="5">
        <v>1011</v>
      </c>
      <c r="B15" s="4">
        <v>46028</v>
      </c>
      <c r="C15" s="3" t="s">
        <v>20</v>
      </c>
      <c r="D15" s="3" t="s">
        <v>21</v>
      </c>
      <c r="E15" s="3" t="s">
        <v>49</v>
      </c>
      <c r="F15" s="3" t="s">
        <v>16</v>
      </c>
      <c r="G15" s="3" t="s">
        <v>17</v>
      </c>
      <c r="H15" s="3">
        <v>1</v>
      </c>
      <c r="I15" s="3">
        <v>52000</v>
      </c>
      <c r="J15" s="3" t="s">
        <v>24</v>
      </c>
      <c r="K15" s="3">
        <v>2200</v>
      </c>
      <c r="L15" s="6" t="s">
        <v>25</v>
      </c>
      <c r="M15" s="3">
        <f>Table16[[#This Row],[Quantity]]*Table16[[#This Row],[Unit_Price]]</f>
        <v>52000</v>
      </c>
      <c r="N15" s="3">
        <f>Table16[[#This Row],[Revenue2]]-Table16[[#This Row],[Expense]]</f>
        <v>49800</v>
      </c>
      <c r="O15" s="3">
        <f>SUM(O8)</f>
        <v>59100</v>
      </c>
      <c r="P15" s="3"/>
      <c r="S15" s="15"/>
      <c r="T15" s="17" t="s">
        <v>150</v>
      </c>
      <c r="U15" s="17"/>
      <c r="V15" s="17"/>
      <c r="W15" s="17"/>
      <c r="X15" s="17"/>
    </row>
    <row r="16" spans="1:27">
      <c r="A16" s="5">
        <v>1031</v>
      </c>
      <c r="B16" s="4">
        <v>46038</v>
      </c>
      <c r="C16" s="3" t="s">
        <v>36</v>
      </c>
      <c r="D16" s="3" t="s">
        <v>37</v>
      </c>
      <c r="E16" s="3" t="s">
        <v>69</v>
      </c>
      <c r="F16" s="3" t="s">
        <v>16</v>
      </c>
      <c r="G16" s="3" t="s">
        <v>17</v>
      </c>
      <c r="H16" s="3">
        <v>1</v>
      </c>
      <c r="I16" s="3">
        <v>51000</v>
      </c>
      <c r="J16" s="3" t="s">
        <v>18</v>
      </c>
      <c r="K16" s="3">
        <v>2000</v>
      </c>
      <c r="L16" s="6" t="s">
        <v>40</v>
      </c>
      <c r="M16" s="3">
        <f>Table16[[#This Row],[Quantity]]*Table16[[#This Row],[Unit_Price]]</f>
        <v>51000</v>
      </c>
      <c r="N16" s="3">
        <f>Table16[[#This Row],[Revenue2]]-Table16[[#This Row],[Expense]]</f>
        <v>49000</v>
      </c>
      <c r="O16" s="3">
        <f>SUM(O9)</f>
        <v>1270400</v>
      </c>
      <c r="P16" s="3"/>
    </row>
    <row r="17" spans="1:23" ht="23.4">
      <c r="A17" s="5">
        <v>1001</v>
      </c>
      <c r="B17" s="4">
        <v>46023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>
        <v>1</v>
      </c>
      <c r="I17" s="3">
        <v>50000</v>
      </c>
      <c r="J17" s="3" t="s">
        <v>18</v>
      </c>
      <c r="K17" s="3">
        <v>2000</v>
      </c>
      <c r="L17" s="6" t="s">
        <v>19</v>
      </c>
      <c r="M17" s="3">
        <f>Table16[[#This Row],[Quantity]]*Table16[[#This Row],[Unit_Price]]</f>
        <v>50000</v>
      </c>
      <c r="N17" s="3">
        <f>Table16[[#This Row],[Revenue2]]-Table16[[#This Row],[Expense]]</f>
        <v>48000</v>
      </c>
      <c r="O17" s="21" t="s">
        <v>3</v>
      </c>
      <c r="P17" t="s">
        <v>118</v>
      </c>
      <c r="Q17" t="s">
        <v>140</v>
      </c>
      <c r="R17" t="s">
        <v>142</v>
      </c>
      <c r="T17" s="30"/>
    </row>
    <row r="18" spans="1:23">
      <c r="A18" s="5">
        <v>1029</v>
      </c>
      <c r="B18" s="4">
        <v>46037</v>
      </c>
      <c r="C18" s="3" t="s">
        <v>13</v>
      </c>
      <c r="D18" s="3" t="s">
        <v>14</v>
      </c>
      <c r="E18" s="3" t="s">
        <v>67</v>
      </c>
      <c r="F18" s="3" t="s">
        <v>23</v>
      </c>
      <c r="G18" s="3" t="s">
        <v>17</v>
      </c>
      <c r="H18" s="3">
        <v>2</v>
      </c>
      <c r="I18" s="3">
        <v>22000</v>
      </c>
      <c r="J18" s="3" t="s">
        <v>18</v>
      </c>
      <c r="K18" s="3">
        <v>1700</v>
      </c>
      <c r="L18" s="6" t="s">
        <v>19</v>
      </c>
      <c r="M18" s="3">
        <f>Table16[[#This Row],[Quantity]]*Table16[[#This Row],[Unit_Price]]</f>
        <v>44000</v>
      </c>
      <c r="N18" s="3">
        <f>Table16[[#This Row],[Revenue2]]-Table16[[#This Row],[Expense]]</f>
        <v>42300</v>
      </c>
      <c r="O18" s="22" t="s">
        <v>26</v>
      </c>
      <c r="P18" s="23">
        <v>198000</v>
      </c>
      <c r="Q18" s="23">
        <v>8900</v>
      </c>
      <c r="R18" s="23">
        <v>189100</v>
      </c>
      <c r="S18" s="25"/>
      <c r="T18" s="25"/>
    </row>
    <row r="19" spans="1:23">
      <c r="A19" s="5">
        <v>1013</v>
      </c>
      <c r="B19" s="4">
        <v>46029</v>
      </c>
      <c r="C19" s="3" t="s">
        <v>13</v>
      </c>
      <c r="D19" s="3" t="s">
        <v>26</v>
      </c>
      <c r="E19" s="3" t="s">
        <v>51</v>
      </c>
      <c r="F19" s="3" t="s">
        <v>23</v>
      </c>
      <c r="G19" s="3" t="s">
        <v>17</v>
      </c>
      <c r="H19" s="3">
        <v>2</v>
      </c>
      <c r="I19" s="3">
        <v>21000</v>
      </c>
      <c r="J19" s="3" t="s">
        <v>18</v>
      </c>
      <c r="K19" s="3">
        <v>1800</v>
      </c>
      <c r="L19" s="6" t="s">
        <v>19</v>
      </c>
      <c r="M19" s="3">
        <f>Table16[[#This Row],[Quantity]]*Table16[[#This Row],[Unit_Price]]</f>
        <v>42000</v>
      </c>
      <c r="N19" s="3">
        <f>Table16[[#This Row],[Revenue2]]-Table16[[#This Row],[Expense]]</f>
        <v>40200</v>
      </c>
      <c r="O19" s="22" t="s">
        <v>14</v>
      </c>
      <c r="P19" s="23">
        <v>297000</v>
      </c>
      <c r="Q19" s="23">
        <v>13600</v>
      </c>
      <c r="R19" s="23">
        <v>283400</v>
      </c>
      <c r="S19" s="25"/>
      <c r="T19" s="37" t="s">
        <v>151</v>
      </c>
      <c r="U19" s="3"/>
      <c r="V19" s="3"/>
      <c r="W19" s="3"/>
    </row>
    <row r="20" spans="1:23">
      <c r="A20" s="5">
        <v>1044</v>
      </c>
      <c r="B20" s="4">
        <v>46044</v>
      </c>
      <c r="C20" s="3" t="s">
        <v>20</v>
      </c>
      <c r="D20" s="3" t="s">
        <v>21</v>
      </c>
      <c r="E20" s="3" t="s">
        <v>53</v>
      </c>
      <c r="F20" s="3" t="s">
        <v>23</v>
      </c>
      <c r="G20" s="3" t="s">
        <v>17</v>
      </c>
      <c r="H20" s="3">
        <v>2</v>
      </c>
      <c r="I20" s="3">
        <v>21000</v>
      </c>
      <c r="J20" s="3" t="s">
        <v>24</v>
      </c>
      <c r="K20" s="3">
        <v>1600</v>
      </c>
      <c r="L20" s="6" t="s">
        <v>25</v>
      </c>
      <c r="M20" s="3">
        <f>Table16[[#This Row],[Quantity]]*Table16[[#This Row],[Unit_Price]]</f>
        <v>42000</v>
      </c>
      <c r="N20" s="3">
        <f>Table16[[#This Row],[Revenue2]]-Table16[[#This Row],[Expense]]</f>
        <v>40400</v>
      </c>
      <c r="O20" s="22" t="s">
        <v>21</v>
      </c>
      <c r="P20" s="23">
        <v>435000</v>
      </c>
      <c r="Q20" s="23">
        <v>18300</v>
      </c>
      <c r="R20" s="23">
        <v>416700</v>
      </c>
      <c r="T20" s="37" t="s">
        <v>152</v>
      </c>
      <c r="U20" s="3"/>
      <c r="V20" s="3"/>
      <c r="W20" s="3"/>
    </row>
    <row r="21" spans="1:23">
      <c r="A21" s="5">
        <v>1002</v>
      </c>
      <c r="B21" s="4">
        <v>46023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17</v>
      </c>
      <c r="H21" s="3">
        <v>2</v>
      </c>
      <c r="I21" s="3">
        <v>20000</v>
      </c>
      <c r="J21" s="3" t="s">
        <v>24</v>
      </c>
      <c r="K21" s="3">
        <v>1500</v>
      </c>
      <c r="L21" s="6" t="s">
        <v>25</v>
      </c>
      <c r="M21" s="3">
        <f>Table16[[#This Row],[Quantity]]*Table16[[#This Row],[Unit_Price]]</f>
        <v>40000</v>
      </c>
      <c r="N21" s="3">
        <f>Table16[[#This Row],[Revenue2]]-Table16[[#This Row],[Expense]]</f>
        <v>38500</v>
      </c>
      <c r="O21" s="22" t="s">
        <v>37</v>
      </c>
      <c r="P21" s="23">
        <v>208000</v>
      </c>
      <c r="Q21" s="23">
        <v>8600</v>
      </c>
      <c r="R21" s="23">
        <v>199400</v>
      </c>
      <c r="T21" s="37" t="s">
        <v>153</v>
      </c>
      <c r="U21" s="3"/>
      <c r="V21" s="3"/>
      <c r="W21" s="3"/>
    </row>
    <row r="22" spans="1:23">
      <c r="A22" s="5">
        <v>1039</v>
      </c>
      <c r="B22" s="4">
        <v>46042</v>
      </c>
      <c r="C22" s="3" t="s">
        <v>36</v>
      </c>
      <c r="D22" s="3" t="s">
        <v>37</v>
      </c>
      <c r="E22" s="3" t="s">
        <v>77</v>
      </c>
      <c r="F22" s="3" t="s">
        <v>23</v>
      </c>
      <c r="G22" s="3" t="s">
        <v>17</v>
      </c>
      <c r="H22" s="3">
        <v>2</v>
      </c>
      <c r="I22" s="3">
        <v>18000</v>
      </c>
      <c r="J22" s="3" t="s">
        <v>18</v>
      </c>
      <c r="K22" s="3">
        <v>1200</v>
      </c>
      <c r="L22" s="6" t="s">
        <v>40</v>
      </c>
      <c r="M22" s="3">
        <f>Table16[[#This Row],[Quantity]]*Table16[[#This Row],[Unit_Price]]</f>
        <v>36000</v>
      </c>
      <c r="N22" s="3">
        <f>Table16[[#This Row],[Revenue2]]-Table16[[#This Row],[Expense]]</f>
        <v>34800</v>
      </c>
      <c r="O22" s="22" t="s">
        <v>32</v>
      </c>
      <c r="P22" s="23">
        <v>116000</v>
      </c>
      <c r="Q22" s="23">
        <v>5500</v>
      </c>
      <c r="R22" s="23">
        <v>110500</v>
      </c>
      <c r="T22" s="37" t="s">
        <v>129</v>
      </c>
      <c r="U22" s="3"/>
      <c r="V22" s="3"/>
      <c r="W22" s="3"/>
    </row>
    <row r="23" spans="1:23" ht="31.2">
      <c r="A23" s="5">
        <v>1021</v>
      </c>
      <c r="B23" s="4">
        <v>46033</v>
      </c>
      <c r="C23" s="3" t="s">
        <v>31</v>
      </c>
      <c r="D23" s="3" t="s">
        <v>32</v>
      </c>
      <c r="E23" s="3" t="s">
        <v>59</v>
      </c>
      <c r="F23" s="3" t="s">
        <v>47</v>
      </c>
      <c r="G23" s="3" t="s">
        <v>17</v>
      </c>
      <c r="H23" s="3">
        <v>1</v>
      </c>
      <c r="I23" s="3">
        <v>32000</v>
      </c>
      <c r="J23" s="3" t="s">
        <v>18</v>
      </c>
      <c r="K23" s="3">
        <v>1600</v>
      </c>
      <c r="L23" s="6" t="s">
        <v>19</v>
      </c>
      <c r="M23" s="3">
        <f>Table16[[#This Row],[Quantity]]*Table16[[#This Row],[Unit_Price]]</f>
        <v>32000</v>
      </c>
      <c r="N23" s="3">
        <f>Table16[[#This Row],[Revenue2]]-Table16[[#This Row],[Expense]]</f>
        <v>30400</v>
      </c>
      <c r="O23" s="22" t="s">
        <v>43</v>
      </c>
      <c r="P23" s="23">
        <v>75500</v>
      </c>
      <c r="Q23" s="23">
        <v>4200</v>
      </c>
      <c r="R23" s="23">
        <v>71300</v>
      </c>
      <c r="S23" s="15"/>
      <c r="T23" s="37" t="s">
        <v>135</v>
      </c>
      <c r="U23" s="3"/>
      <c r="V23" s="3"/>
      <c r="W23" s="3"/>
    </row>
    <row r="24" spans="1:23">
      <c r="A24" s="5">
        <v>1032</v>
      </c>
      <c r="B24" s="4">
        <v>46038</v>
      </c>
      <c r="C24" s="3" t="s">
        <v>20</v>
      </c>
      <c r="D24" s="3" t="s">
        <v>21</v>
      </c>
      <c r="E24" s="3" t="s">
        <v>70</v>
      </c>
      <c r="F24" s="3" t="s">
        <v>47</v>
      </c>
      <c r="G24" s="3" t="s">
        <v>17</v>
      </c>
      <c r="H24" s="3">
        <v>1</v>
      </c>
      <c r="I24" s="3">
        <v>31000</v>
      </c>
      <c r="J24" s="3" t="s">
        <v>24</v>
      </c>
      <c r="K24" s="3">
        <v>1500</v>
      </c>
      <c r="L24" s="6" t="s">
        <v>25</v>
      </c>
      <c r="M24" s="3">
        <f>Table16[[#This Row],[Quantity]]*Table16[[#This Row],[Unit_Price]]</f>
        <v>31000</v>
      </c>
      <c r="N24" s="3">
        <f>Table16[[#This Row],[Revenue2]]-Table16[[#This Row],[Expense]]</f>
        <v>29500</v>
      </c>
      <c r="O24" s="22" t="s">
        <v>100</v>
      </c>
      <c r="P24" s="23">
        <v>1329500</v>
      </c>
      <c r="Q24" s="23">
        <v>59100</v>
      </c>
      <c r="R24" s="23">
        <v>1270400</v>
      </c>
    </row>
    <row r="25" spans="1:23">
      <c r="A25" s="5">
        <v>1037</v>
      </c>
      <c r="B25" s="4">
        <v>46041</v>
      </c>
      <c r="C25" s="3" t="s">
        <v>13</v>
      </c>
      <c r="D25" s="3" t="s">
        <v>14</v>
      </c>
      <c r="E25" s="3" t="s">
        <v>75</v>
      </c>
      <c r="F25" s="3" t="s">
        <v>47</v>
      </c>
      <c r="G25" s="3" t="s">
        <v>17</v>
      </c>
      <c r="H25" s="3">
        <v>1</v>
      </c>
      <c r="I25" s="3">
        <v>30000</v>
      </c>
      <c r="J25" s="3" t="s">
        <v>18</v>
      </c>
      <c r="K25" s="3">
        <v>1500</v>
      </c>
      <c r="L25" s="6" t="s">
        <v>19</v>
      </c>
      <c r="M25" s="3">
        <f>Table16[[#This Row],[Quantity]]*Table16[[#This Row],[Unit_Price]]</f>
        <v>30000</v>
      </c>
      <c r="N25" s="3">
        <f>Table16[[#This Row],[Revenue2]]-Table16[[#This Row],[Expense]]</f>
        <v>28500</v>
      </c>
    </row>
    <row r="26" spans="1:23">
      <c r="A26" s="5">
        <v>1009</v>
      </c>
      <c r="B26" s="4">
        <v>46027</v>
      </c>
      <c r="C26" s="3" t="s">
        <v>13</v>
      </c>
      <c r="D26" s="3" t="s">
        <v>14</v>
      </c>
      <c r="E26" s="3" t="s">
        <v>46</v>
      </c>
      <c r="F26" s="3" t="s">
        <v>47</v>
      </c>
      <c r="G26" s="3" t="s">
        <v>17</v>
      </c>
      <c r="H26" s="3">
        <v>1</v>
      </c>
      <c r="I26" s="3">
        <v>30000</v>
      </c>
      <c r="J26" s="3" t="s">
        <v>18</v>
      </c>
      <c r="K26" s="3">
        <v>1500</v>
      </c>
      <c r="L26" s="6" t="s">
        <v>19</v>
      </c>
      <c r="M26" s="3">
        <f>Table16[[#This Row],[Quantity]]*Table16[[#This Row],[Unit_Price]]</f>
        <v>30000</v>
      </c>
      <c r="N26" s="3">
        <f>Table16[[#This Row],[Revenue2]]-Table16[[#This Row],[Expense]]</f>
        <v>28500</v>
      </c>
    </row>
    <row r="27" spans="1:23">
      <c r="A27" s="5">
        <v>1048</v>
      </c>
      <c r="B27" s="4">
        <v>46046</v>
      </c>
      <c r="C27" s="3" t="s">
        <v>20</v>
      </c>
      <c r="D27" s="3" t="s">
        <v>21</v>
      </c>
      <c r="E27" s="3" t="s">
        <v>33</v>
      </c>
      <c r="F27" s="3" t="s">
        <v>47</v>
      </c>
      <c r="G27" s="3" t="s">
        <v>17</v>
      </c>
      <c r="H27" s="3">
        <v>1</v>
      </c>
      <c r="I27" s="3">
        <v>30000</v>
      </c>
      <c r="J27" s="3" t="s">
        <v>24</v>
      </c>
      <c r="K27" s="3">
        <v>1400</v>
      </c>
      <c r="L27" s="6" t="s">
        <v>25</v>
      </c>
      <c r="M27" s="3">
        <f>Table16[[#This Row],[Quantity]]*Table16[[#This Row],[Unit_Price]]</f>
        <v>30000</v>
      </c>
      <c r="N27" s="3">
        <f>Table16[[#This Row],[Revenue2]]-Table16[[#This Row],[Expense]]</f>
        <v>28600</v>
      </c>
      <c r="O27" s="36" t="s">
        <v>134</v>
      </c>
      <c r="P27" s="18"/>
      <c r="Q27" s="21" t="s">
        <v>143</v>
      </c>
      <c r="R27" t="s">
        <v>140</v>
      </c>
    </row>
    <row r="28" spans="1:23">
      <c r="A28" s="5">
        <v>1027</v>
      </c>
      <c r="B28" s="4">
        <v>46036</v>
      </c>
      <c r="C28" s="3" t="s">
        <v>36</v>
      </c>
      <c r="D28" s="3" t="s">
        <v>37</v>
      </c>
      <c r="E28" s="3" t="s">
        <v>65</v>
      </c>
      <c r="F28" s="3" t="s">
        <v>47</v>
      </c>
      <c r="G28" s="3" t="s">
        <v>17</v>
      </c>
      <c r="H28" s="3">
        <v>1</v>
      </c>
      <c r="I28" s="3">
        <v>29000</v>
      </c>
      <c r="J28" s="3" t="s">
        <v>18</v>
      </c>
      <c r="K28" s="3">
        <v>1200</v>
      </c>
      <c r="L28" s="6" t="s">
        <v>40</v>
      </c>
      <c r="M28" s="3">
        <f>Table16[[#This Row],[Quantity]]*Table16[[#This Row],[Unit_Price]]</f>
        <v>29000</v>
      </c>
      <c r="N28" s="3">
        <f>Table16[[#This Row],[Revenue2]]-Table16[[#This Row],[Expense]]</f>
        <v>27800</v>
      </c>
      <c r="Q28" s="22" t="s">
        <v>26</v>
      </c>
      <c r="R28" s="23">
        <v>8900</v>
      </c>
    </row>
    <row r="29" spans="1:23">
      <c r="A29" s="5">
        <v>1043</v>
      </c>
      <c r="B29" s="4">
        <v>46044</v>
      </c>
      <c r="C29" s="3" t="s">
        <v>36</v>
      </c>
      <c r="D29" s="3" t="s">
        <v>37</v>
      </c>
      <c r="E29" s="3" t="s">
        <v>52</v>
      </c>
      <c r="F29" s="3" t="s">
        <v>47</v>
      </c>
      <c r="G29" s="3" t="s">
        <v>17</v>
      </c>
      <c r="H29" s="3">
        <v>1</v>
      </c>
      <c r="I29" s="3">
        <v>28000</v>
      </c>
      <c r="J29" s="3" t="s">
        <v>18</v>
      </c>
      <c r="K29" s="3">
        <v>1000</v>
      </c>
      <c r="L29" s="6" t="s">
        <v>40</v>
      </c>
      <c r="M29" s="3">
        <f>Table16[[#This Row],[Quantity]]*Table16[[#This Row],[Unit_Price]]</f>
        <v>28000</v>
      </c>
      <c r="N29" s="3">
        <f>Table16[[#This Row],[Revenue2]]-Table16[[#This Row],[Expense]]</f>
        <v>27000</v>
      </c>
      <c r="Q29" s="22" t="s">
        <v>14</v>
      </c>
      <c r="R29" s="23">
        <v>13600</v>
      </c>
    </row>
    <row r="30" spans="1:23">
      <c r="A30" s="5">
        <v>1015</v>
      </c>
      <c r="B30" s="4">
        <v>46030</v>
      </c>
      <c r="C30" s="3" t="s">
        <v>20</v>
      </c>
      <c r="D30" s="3" t="s">
        <v>21</v>
      </c>
      <c r="E30" s="3" t="s">
        <v>53</v>
      </c>
      <c r="F30" s="3" t="s">
        <v>47</v>
      </c>
      <c r="G30" s="3" t="s">
        <v>17</v>
      </c>
      <c r="H30" s="3">
        <v>1</v>
      </c>
      <c r="I30" s="3">
        <v>28000</v>
      </c>
      <c r="J30" s="3" t="s">
        <v>24</v>
      </c>
      <c r="K30" s="3">
        <v>1300</v>
      </c>
      <c r="L30" s="6" t="s">
        <v>25</v>
      </c>
      <c r="M30" s="3">
        <f>Table16[[#This Row],[Quantity]]*Table16[[#This Row],[Unit_Price]]</f>
        <v>28000</v>
      </c>
      <c r="N30" s="3">
        <f>Table16[[#This Row],[Revenue2]]-Table16[[#This Row],[Expense]]</f>
        <v>26700</v>
      </c>
      <c r="Q30" s="22" t="s">
        <v>21</v>
      </c>
      <c r="R30" s="23">
        <v>18300</v>
      </c>
    </row>
    <row r="31" spans="1:23" ht="31.2">
      <c r="A31" s="5">
        <v>1034</v>
      </c>
      <c r="B31" s="4">
        <v>46039</v>
      </c>
      <c r="C31" s="3" t="s">
        <v>31</v>
      </c>
      <c r="D31" s="3" t="s">
        <v>43</v>
      </c>
      <c r="E31" s="3" t="s">
        <v>72</v>
      </c>
      <c r="F31" s="3" t="s">
        <v>23</v>
      </c>
      <c r="G31" s="3" t="s">
        <v>17</v>
      </c>
      <c r="H31" s="3">
        <v>1</v>
      </c>
      <c r="I31" s="3">
        <v>20000</v>
      </c>
      <c r="J31" s="3" t="s">
        <v>18</v>
      </c>
      <c r="K31" s="3">
        <v>1000</v>
      </c>
      <c r="L31" s="6" t="s">
        <v>30</v>
      </c>
      <c r="M31" s="3">
        <f>Table16[[#This Row],[Quantity]]*Table16[[#This Row],[Unit_Price]]</f>
        <v>20000</v>
      </c>
      <c r="N31" s="3">
        <f>Table16[[#This Row],[Revenue2]]-Table16[[#This Row],[Expense]]</f>
        <v>19000</v>
      </c>
      <c r="Q31" s="22" t="s">
        <v>37</v>
      </c>
      <c r="R31" s="23">
        <v>8600</v>
      </c>
      <c r="S31" s="15"/>
    </row>
    <row r="32" spans="1:23">
      <c r="A32" s="5">
        <v>1049</v>
      </c>
      <c r="B32" s="4">
        <v>46047</v>
      </c>
      <c r="C32" s="3" t="s">
        <v>13</v>
      </c>
      <c r="D32" s="3" t="s">
        <v>26</v>
      </c>
      <c r="E32" s="3" t="s">
        <v>57</v>
      </c>
      <c r="F32" s="3" t="s">
        <v>23</v>
      </c>
      <c r="G32" s="3" t="s">
        <v>17</v>
      </c>
      <c r="H32" s="3">
        <v>1</v>
      </c>
      <c r="I32" s="3">
        <v>19000</v>
      </c>
      <c r="J32" s="3" t="s">
        <v>18</v>
      </c>
      <c r="K32" s="3">
        <v>900</v>
      </c>
      <c r="L32" s="6" t="s">
        <v>19</v>
      </c>
      <c r="M32" s="3">
        <f>Table16[[#This Row],[Quantity]]*Table16[[#This Row],[Unit_Price]]</f>
        <v>19000</v>
      </c>
      <c r="N32" s="3">
        <f>Table16[[#This Row],[Revenue2]]-Table16[[#This Row],[Expense]]</f>
        <v>18100</v>
      </c>
      <c r="Q32" s="22" t="s">
        <v>32</v>
      </c>
      <c r="R32" s="23">
        <v>5500</v>
      </c>
    </row>
    <row r="33" spans="1:19">
      <c r="A33" s="5">
        <v>1007</v>
      </c>
      <c r="B33" s="4">
        <v>46026</v>
      </c>
      <c r="C33" s="3" t="s">
        <v>20</v>
      </c>
      <c r="D33" s="3" t="s">
        <v>21</v>
      </c>
      <c r="E33" s="3" t="s">
        <v>42</v>
      </c>
      <c r="F33" s="3" t="s">
        <v>23</v>
      </c>
      <c r="G33" s="3" t="s">
        <v>17</v>
      </c>
      <c r="H33" s="3">
        <v>1</v>
      </c>
      <c r="I33" s="3">
        <v>18000</v>
      </c>
      <c r="J33" s="3" t="s">
        <v>24</v>
      </c>
      <c r="K33" s="3">
        <v>1200</v>
      </c>
      <c r="L33" s="6" t="s">
        <v>25</v>
      </c>
      <c r="M33" s="3">
        <f>Table16[[#This Row],[Quantity]]*Table16[[#This Row],[Unit_Price]]</f>
        <v>18000</v>
      </c>
      <c r="N33" s="3">
        <f>Table16[[#This Row],[Revenue2]]-Table16[[#This Row],[Expense]]</f>
        <v>16800</v>
      </c>
      <c r="Q33" s="22" t="s">
        <v>43</v>
      </c>
      <c r="R33" s="23">
        <v>4200</v>
      </c>
    </row>
    <row r="34" spans="1:19">
      <c r="A34" s="5">
        <v>1018</v>
      </c>
      <c r="B34" s="4">
        <v>46031</v>
      </c>
      <c r="C34" s="3" t="s">
        <v>36</v>
      </c>
      <c r="D34" s="3" t="s">
        <v>37</v>
      </c>
      <c r="E34" s="3" t="s">
        <v>56</v>
      </c>
      <c r="F34" s="3" t="s">
        <v>23</v>
      </c>
      <c r="G34" s="3" t="s">
        <v>17</v>
      </c>
      <c r="H34" s="3">
        <v>1</v>
      </c>
      <c r="I34" s="3">
        <v>17000</v>
      </c>
      <c r="J34" s="3" t="s">
        <v>18</v>
      </c>
      <c r="K34" s="3">
        <v>900</v>
      </c>
      <c r="L34" s="6" t="s">
        <v>40</v>
      </c>
      <c r="M34" s="3">
        <f>Table16[[#This Row],[Quantity]]*Table16[[#This Row],[Unit_Price]]</f>
        <v>17000</v>
      </c>
      <c r="N34" s="3">
        <f>Table16[[#This Row],[Revenue2]]-Table16[[#This Row],[Expense]]</f>
        <v>16100</v>
      </c>
      <c r="Q34" s="22" t="s">
        <v>100</v>
      </c>
      <c r="R34" s="23">
        <v>59100</v>
      </c>
    </row>
    <row r="35" spans="1:19">
      <c r="A35" s="5">
        <v>1026</v>
      </c>
      <c r="B35" s="4">
        <v>46035</v>
      </c>
      <c r="C35" s="3" t="s">
        <v>31</v>
      </c>
      <c r="D35" s="3" t="s">
        <v>43</v>
      </c>
      <c r="E35" s="3" t="s">
        <v>64</v>
      </c>
      <c r="F35" s="3" t="s">
        <v>34</v>
      </c>
      <c r="G35" s="3" t="s">
        <v>29</v>
      </c>
      <c r="H35" s="3">
        <v>2</v>
      </c>
      <c r="I35" s="3">
        <v>8500</v>
      </c>
      <c r="J35" s="3" t="s">
        <v>18</v>
      </c>
      <c r="K35" s="3">
        <v>800</v>
      </c>
      <c r="L35" s="6" t="s">
        <v>30</v>
      </c>
      <c r="M35" s="3">
        <f>Table16[[#This Row],[Quantity]]*Table16[[#This Row],[Unit_Price]]</f>
        <v>17000</v>
      </c>
      <c r="N35" s="3">
        <f>Table16[[#This Row],[Revenue2]]-Table16[[#This Row],[Expense]]</f>
        <v>16200</v>
      </c>
    </row>
    <row r="36" spans="1:19">
      <c r="A36" s="5">
        <v>1028</v>
      </c>
      <c r="B36" s="4">
        <v>46036</v>
      </c>
      <c r="C36" s="3" t="s">
        <v>20</v>
      </c>
      <c r="D36" s="3" t="s">
        <v>21</v>
      </c>
      <c r="E36" s="3" t="s">
        <v>66</v>
      </c>
      <c r="F36" s="3" t="s">
        <v>45</v>
      </c>
      <c r="G36" s="3" t="s">
        <v>29</v>
      </c>
      <c r="H36" s="3">
        <v>1</v>
      </c>
      <c r="I36" s="3">
        <v>16000</v>
      </c>
      <c r="J36" s="3" t="s">
        <v>35</v>
      </c>
      <c r="K36" s="3">
        <v>600</v>
      </c>
      <c r="L36" s="6" t="s">
        <v>25</v>
      </c>
      <c r="M36" s="3">
        <f>Table16[[#This Row],[Quantity]]*Table16[[#This Row],[Unit_Price]]</f>
        <v>16000</v>
      </c>
      <c r="N36" s="3">
        <f>Table16[[#This Row],[Revenue2]]-Table16[[#This Row],[Expense]]</f>
        <v>15400</v>
      </c>
    </row>
    <row r="37" spans="1:19">
      <c r="A37" s="5">
        <v>1014</v>
      </c>
      <c r="B37" s="4">
        <v>46029</v>
      </c>
      <c r="C37" s="3" t="s">
        <v>36</v>
      </c>
      <c r="D37" s="3" t="s">
        <v>37</v>
      </c>
      <c r="E37" s="3" t="s">
        <v>52</v>
      </c>
      <c r="F37" s="3" t="s">
        <v>45</v>
      </c>
      <c r="G37" s="3" t="s">
        <v>29</v>
      </c>
      <c r="H37" s="3">
        <v>1</v>
      </c>
      <c r="I37" s="3">
        <v>15000</v>
      </c>
      <c r="J37" s="3" t="s">
        <v>35</v>
      </c>
      <c r="K37" s="3">
        <v>700</v>
      </c>
      <c r="L37" s="6" t="s">
        <v>40</v>
      </c>
      <c r="M37" s="3">
        <f>Table16[[#This Row],[Quantity]]*Table16[[#This Row],[Unit_Price]]</f>
        <v>15000</v>
      </c>
      <c r="N37" s="3">
        <f>Table16[[#This Row],[Revenue2]]-Table16[[#This Row],[Expense]]</f>
        <v>14300</v>
      </c>
    </row>
    <row r="38" spans="1:19">
      <c r="A38" s="5">
        <v>1050</v>
      </c>
      <c r="B38" s="4">
        <v>46047</v>
      </c>
      <c r="C38" s="3" t="s">
        <v>31</v>
      </c>
      <c r="D38" s="3" t="s">
        <v>43</v>
      </c>
      <c r="E38" s="3" t="s">
        <v>15</v>
      </c>
      <c r="F38" s="3" t="s">
        <v>45</v>
      </c>
      <c r="G38" s="3" t="s">
        <v>29</v>
      </c>
      <c r="H38" s="3">
        <v>1</v>
      </c>
      <c r="I38" s="3">
        <v>15000</v>
      </c>
      <c r="J38" s="3" t="s">
        <v>18</v>
      </c>
      <c r="K38" s="3">
        <v>800</v>
      </c>
      <c r="L38" s="6" t="s">
        <v>30</v>
      </c>
      <c r="M38" s="3">
        <f>Table16[[#This Row],[Quantity]]*Table16[[#This Row],[Unit_Price]]</f>
        <v>15000</v>
      </c>
      <c r="N38" s="3">
        <f>Table16[[#This Row],[Revenue2]]-Table16[[#This Row],[Expense]]</f>
        <v>14200</v>
      </c>
    </row>
    <row r="39" spans="1:19" ht="21">
      <c r="A39" s="5">
        <v>1038</v>
      </c>
      <c r="B39" s="4">
        <v>46041</v>
      </c>
      <c r="C39" s="3" t="s">
        <v>31</v>
      </c>
      <c r="D39" s="3" t="s">
        <v>32</v>
      </c>
      <c r="E39" s="3" t="s">
        <v>76</v>
      </c>
      <c r="F39" s="3" t="s">
        <v>45</v>
      </c>
      <c r="G39" s="3" t="s">
        <v>29</v>
      </c>
      <c r="H39" s="3">
        <v>1</v>
      </c>
      <c r="I39" s="3">
        <v>15000</v>
      </c>
      <c r="J39" s="3" t="s">
        <v>18</v>
      </c>
      <c r="K39" s="3">
        <v>800</v>
      </c>
      <c r="L39" s="6" t="s">
        <v>30</v>
      </c>
      <c r="M39" s="3">
        <f>Table16[[#This Row],[Quantity]]*Table16[[#This Row],[Unit_Price]]</f>
        <v>15000</v>
      </c>
      <c r="N39" s="3">
        <f>Table16[[#This Row],[Revenue2]]-Table16[[#This Row],[Expense]]</f>
        <v>14200</v>
      </c>
      <c r="O39" t="s">
        <v>144</v>
      </c>
      <c r="Q39" s="44">
        <f>O9/O7</f>
        <v>0.95554719819481004</v>
      </c>
      <c r="R39" s="43" t="s">
        <v>145</v>
      </c>
      <c r="S39" s="43"/>
    </row>
    <row r="40" spans="1:19">
      <c r="A40" s="5">
        <v>1010</v>
      </c>
      <c r="B40" s="4">
        <v>46027</v>
      </c>
      <c r="C40" s="3" t="s">
        <v>36</v>
      </c>
      <c r="D40" s="3" t="s">
        <v>37</v>
      </c>
      <c r="E40" s="3" t="s">
        <v>48</v>
      </c>
      <c r="F40" s="3" t="s">
        <v>34</v>
      </c>
      <c r="G40" s="3" t="s">
        <v>29</v>
      </c>
      <c r="H40" s="3">
        <v>2</v>
      </c>
      <c r="I40" s="3">
        <v>7000</v>
      </c>
      <c r="J40" s="3" t="s">
        <v>18</v>
      </c>
      <c r="K40" s="3">
        <v>600</v>
      </c>
      <c r="L40" s="6" t="s">
        <v>40</v>
      </c>
      <c r="M40" s="3">
        <f>Table16[[#This Row],[Quantity]]*Table16[[#This Row],[Unit_Price]]</f>
        <v>14000</v>
      </c>
      <c r="N40" s="3">
        <f>Table16[[#This Row],[Revenue2]]-Table16[[#This Row],[Expense]]</f>
        <v>13400</v>
      </c>
    </row>
    <row r="41" spans="1:19">
      <c r="A41" s="5">
        <v>1045</v>
      </c>
      <c r="B41" s="4">
        <v>46045</v>
      </c>
      <c r="C41" s="3" t="s">
        <v>13</v>
      </c>
      <c r="D41" s="3" t="s">
        <v>14</v>
      </c>
      <c r="E41" s="3" t="s">
        <v>79</v>
      </c>
      <c r="F41" s="3" t="s">
        <v>45</v>
      </c>
      <c r="G41" s="3" t="s">
        <v>29</v>
      </c>
      <c r="H41" s="3">
        <v>1</v>
      </c>
      <c r="I41" s="3">
        <v>14000</v>
      </c>
      <c r="J41" s="3" t="s">
        <v>18</v>
      </c>
      <c r="K41" s="3">
        <v>700</v>
      </c>
      <c r="L41" s="6" t="s">
        <v>19</v>
      </c>
      <c r="M41" s="3">
        <f>Table16[[#This Row],[Quantity]]*Table16[[#This Row],[Unit_Price]]</f>
        <v>14000</v>
      </c>
      <c r="N41" s="3">
        <f>Table16[[#This Row],[Revenue2]]-Table16[[#This Row],[Expense]]</f>
        <v>13300</v>
      </c>
      <c r="S41" s="1"/>
    </row>
    <row r="42" spans="1:19">
      <c r="A42" s="5">
        <v>1022</v>
      </c>
      <c r="B42" s="4">
        <v>46033</v>
      </c>
      <c r="C42" s="3" t="s">
        <v>13</v>
      </c>
      <c r="D42" s="3" t="s">
        <v>14</v>
      </c>
      <c r="E42" s="3" t="s">
        <v>60</v>
      </c>
      <c r="F42" s="3" t="s">
        <v>45</v>
      </c>
      <c r="G42" s="3" t="s">
        <v>29</v>
      </c>
      <c r="H42" s="3">
        <v>1</v>
      </c>
      <c r="I42" s="3">
        <v>14000</v>
      </c>
      <c r="J42" s="3" t="s">
        <v>18</v>
      </c>
      <c r="K42" s="3">
        <v>700</v>
      </c>
      <c r="L42" s="6" t="s">
        <v>30</v>
      </c>
      <c r="M42" s="3">
        <f>Table16[[#This Row],[Quantity]]*Table16[[#This Row],[Unit_Price]]</f>
        <v>14000</v>
      </c>
      <c r="N42" s="3">
        <f>Table16[[#This Row],[Revenue2]]-Table16[[#This Row],[Expense]]</f>
        <v>13300</v>
      </c>
    </row>
    <row r="43" spans="1:19">
      <c r="A43" s="5">
        <v>1033</v>
      </c>
      <c r="B43" s="4">
        <v>46039</v>
      </c>
      <c r="C43" s="3" t="s">
        <v>13</v>
      </c>
      <c r="D43" s="3" t="s">
        <v>26</v>
      </c>
      <c r="E43" s="3" t="s">
        <v>71</v>
      </c>
      <c r="F43" s="3" t="s">
        <v>45</v>
      </c>
      <c r="G43" s="3" t="s">
        <v>29</v>
      </c>
      <c r="H43" s="3">
        <v>1</v>
      </c>
      <c r="I43" s="3">
        <v>13000</v>
      </c>
      <c r="J43" s="3" t="s">
        <v>18</v>
      </c>
      <c r="K43" s="3">
        <v>700</v>
      </c>
      <c r="L43" s="6" t="s">
        <v>19</v>
      </c>
      <c r="M43" s="3">
        <f>Table16[[#This Row],[Quantity]]*Table16[[#This Row],[Unit_Price]]</f>
        <v>13000</v>
      </c>
      <c r="N43" s="3">
        <f>Table16[[#This Row],[Revenue2]]-Table16[[#This Row],[Expense]]</f>
        <v>12300</v>
      </c>
    </row>
    <row r="44" spans="1:19">
      <c r="A44" s="5">
        <v>1008</v>
      </c>
      <c r="B44" s="4">
        <v>46026</v>
      </c>
      <c r="C44" s="3" t="s">
        <v>31</v>
      </c>
      <c r="D44" s="3" t="s">
        <v>43</v>
      </c>
      <c r="E44" s="3" t="s">
        <v>44</v>
      </c>
      <c r="F44" s="3" t="s">
        <v>45</v>
      </c>
      <c r="G44" s="3" t="s">
        <v>29</v>
      </c>
      <c r="H44" s="3">
        <v>1</v>
      </c>
      <c r="I44" s="3">
        <v>12000</v>
      </c>
      <c r="J44" s="3" t="s">
        <v>18</v>
      </c>
      <c r="K44" s="3">
        <v>800</v>
      </c>
      <c r="L44" s="6" t="s">
        <v>30</v>
      </c>
      <c r="M44" s="3">
        <f>Table16[[#This Row],[Quantity]]*Table16[[#This Row],[Unit_Price]]</f>
        <v>12000</v>
      </c>
      <c r="N44" s="3">
        <f>Table16[[#This Row],[Revenue2]]-Table16[[#This Row],[Expense]]</f>
        <v>11200</v>
      </c>
    </row>
    <row r="45" spans="1:19">
      <c r="A45" s="5">
        <v>1040</v>
      </c>
      <c r="B45" s="4">
        <v>46042</v>
      </c>
      <c r="C45" s="3" t="s">
        <v>20</v>
      </c>
      <c r="D45" s="3" t="s">
        <v>21</v>
      </c>
      <c r="E45" s="3" t="s">
        <v>22</v>
      </c>
      <c r="F45" s="3" t="s">
        <v>34</v>
      </c>
      <c r="G45" s="3" t="s">
        <v>29</v>
      </c>
      <c r="H45" s="3">
        <v>1</v>
      </c>
      <c r="I45" s="3">
        <v>9000</v>
      </c>
      <c r="J45" s="3" t="s">
        <v>35</v>
      </c>
      <c r="K45" s="3">
        <v>400</v>
      </c>
      <c r="L45" s="6" t="s">
        <v>25</v>
      </c>
      <c r="M45" s="3">
        <f>Table16[[#This Row],[Quantity]]*Table16[[#This Row],[Unit_Price]]</f>
        <v>9000</v>
      </c>
      <c r="N45" s="3">
        <f>Table16[[#This Row],[Revenue2]]-Table16[[#This Row],[Expense]]</f>
        <v>8600</v>
      </c>
    </row>
    <row r="46" spans="1:19">
      <c r="A46" s="5">
        <v>1019</v>
      </c>
      <c r="B46" s="4">
        <v>46032</v>
      </c>
      <c r="C46" s="3" t="s">
        <v>13</v>
      </c>
      <c r="D46" s="3" t="s">
        <v>26</v>
      </c>
      <c r="E46" s="3" t="s">
        <v>57</v>
      </c>
      <c r="F46" s="3" t="s">
        <v>34</v>
      </c>
      <c r="G46" s="3" t="s">
        <v>29</v>
      </c>
      <c r="H46" s="3">
        <v>1</v>
      </c>
      <c r="I46" s="3">
        <v>9000</v>
      </c>
      <c r="J46" s="3" t="s">
        <v>18</v>
      </c>
      <c r="K46" s="3">
        <v>400</v>
      </c>
      <c r="L46" s="6" t="s">
        <v>19</v>
      </c>
      <c r="M46" s="3">
        <f>Table16[[#This Row],[Quantity]]*Table16[[#This Row],[Unit_Price]]</f>
        <v>9000</v>
      </c>
      <c r="N46" s="3">
        <f>Table16[[#This Row],[Revenue2]]-Table16[[#This Row],[Expense]]</f>
        <v>8600</v>
      </c>
    </row>
    <row r="47" spans="1:19">
      <c r="A47" s="5">
        <v>1004</v>
      </c>
      <c r="B47" s="4">
        <v>46024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29</v>
      </c>
      <c r="H47" s="3">
        <v>1</v>
      </c>
      <c r="I47" s="3">
        <v>8000</v>
      </c>
      <c r="J47" s="3" t="s">
        <v>35</v>
      </c>
      <c r="K47" s="3">
        <v>300</v>
      </c>
      <c r="L47" s="6" t="s">
        <v>19</v>
      </c>
      <c r="M47" s="3">
        <f>Table16[[#This Row],[Quantity]]*Table16[[#This Row],[Unit_Price]]</f>
        <v>8000</v>
      </c>
      <c r="N47" s="3">
        <f>Table16[[#This Row],[Revenue2]]-Table16[[#This Row],[Expense]]</f>
        <v>7700</v>
      </c>
    </row>
    <row r="48" spans="1:19">
      <c r="A48" s="5">
        <v>1017</v>
      </c>
      <c r="B48" s="4">
        <v>46031</v>
      </c>
      <c r="C48" s="3" t="s">
        <v>31</v>
      </c>
      <c r="D48" s="3" t="s">
        <v>43</v>
      </c>
      <c r="E48" s="3" t="s">
        <v>55</v>
      </c>
      <c r="F48" s="3" t="s">
        <v>28</v>
      </c>
      <c r="G48" s="3" t="s">
        <v>29</v>
      </c>
      <c r="H48" s="3">
        <v>5</v>
      </c>
      <c r="I48" s="3">
        <v>1400</v>
      </c>
      <c r="J48" s="3" t="s">
        <v>18</v>
      </c>
      <c r="K48" s="3">
        <v>500</v>
      </c>
      <c r="L48" s="6" t="s">
        <v>30</v>
      </c>
      <c r="M48" s="3">
        <f>Table16[[#This Row],[Quantity]]*Table16[[#This Row],[Unit_Price]]</f>
        <v>7000</v>
      </c>
      <c r="N48" s="3">
        <f>Table16[[#This Row],[Revenue2]]-Table16[[#This Row],[Expense]]</f>
        <v>6500</v>
      </c>
    </row>
    <row r="49" spans="1:14">
      <c r="A49" s="5">
        <v>1005</v>
      </c>
      <c r="B49" s="4">
        <v>46025</v>
      </c>
      <c r="C49" s="3" t="s">
        <v>36</v>
      </c>
      <c r="D49" s="3" t="s">
        <v>37</v>
      </c>
      <c r="E49" s="3" t="s">
        <v>38</v>
      </c>
      <c r="F49" s="3" t="s">
        <v>39</v>
      </c>
      <c r="G49" s="3" t="s">
        <v>17</v>
      </c>
      <c r="H49" s="3">
        <v>3</v>
      </c>
      <c r="I49" s="3">
        <v>2000</v>
      </c>
      <c r="J49" s="3" t="s">
        <v>18</v>
      </c>
      <c r="K49" s="3">
        <v>200</v>
      </c>
      <c r="L49" s="6" t="s">
        <v>40</v>
      </c>
      <c r="M49" s="3">
        <f>Table16[[#This Row],[Quantity]]*Table16[[#This Row],[Unit_Price]]</f>
        <v>6000</v>
      </c>
      <c r="N49" s="3">
        <f>Table16[[#This Row],[Revenue2]]-Table16[[#This Row],[Expense]]</f>
        <v>5800</v>
      </c>
    </row>
    <row r="50" spans="1:14">
      <c r="A50" s="5">
        <v>1003</v>
      </c>
      <c r="B50" s="4">
        <v>46024</v>
      </c>
      <c r="C50" s="3" t="s">
        <v>13</v>
      </c>
      <c r="D50" s="3" t="s">
        <v>26</v>
      </c>
      <c r="E50" s="3" t="s">
        <v>27</v>
      </c>
      <c r="F50" s="3" t="s">
        <v>28</v>
      </c>
      <c r="G50" s="3" t="s">
        <v>29</v>
      </c>
      <c r="H50" s="3">
        <v>4</v>
      </c>
      <c r="I50" s="3">
        <v>1500</v>
      </c>
      <c r="J50" s="3" t="s">
        <v>18</v>
      </c>
      <c r="K50" s="3">
        <v>500</v>
      </c>
      <c r="L50" s="6" t="s">
        <v>30</v>
      </c>
      <c r="M50" s="3">
        <f>Table16[[#This Row],[Quantity]]*Table16[[#This Row],[Unit_Price]]</f>
        <v>6000</v>
      </c>
      <c r="N50" s="3">
        <f>Table16[[#This Row],[Revenue2]]-Table16[[#This Row],[Expense]]</f>
        <v>5500</v>
      </c>
    </row>
    <row r="51" spans="1:14">
      <c r="A51" s="5">
        <v>1035</v>
      </c>
      <c r="B51" s="4">
        <v>46040</v>
      </c>
      <c r="C51" s="3" t="s">
        <v>36</v>
      </c>
      <c r="D51" s="3" t="s">
        <v>37</v>
      </c>
      <c r="E51" s="3" t="s">
        <v>73</v>
      </c>
      <c r="F51" s="3" t="s">
        <v>28</v>
      </c>
      <c r="G51" s="3" t="s">
        <v>29</v>
      </c>
      <c r="H51" s="3">
        <v>4</v>
      </c>
      <c r="I51" s="3">
        <v>1400</v>
      </c>
      <c r="J51" s="3" t="s">
        <v>18</v>
      </c>
      <c r="K51" s="3">
        <v>400</v>
      </c>
      <c r="L51" s="6" t="s">
        <v>40</v>
      </c>
      <c r="M51" s="3">
        <f>Table16[[#This Row],[Quantity]]*Table16[[#This Row],[Unit_Price]]</f>
        <v>5600</v>
      </c>
      <c r="N51" s="3">
        <f>Table16[[#This Row],[Revenue2]]-Table16[[#This Row],[Expense]]</f>
        <v>5200</v>
      </c>
    </row>
    <row r="52" spans="1:14">
      <c r="A52" s="5">
        <v>1042</v>
      </c>
      <c r="B52" s="4">
        <v>46043</v>
      </c>
      <c r="C52" s="3" t="s">
        <v>31</v>
      </c>
      <c r="D52" s="3" t="s">
        <v>43</v>
      </c>
      <c r="E52" s="3" t="s">
        <v>51</v>
      </c>
      <c r="F52" s="3" t="s">
        <v>28</v>
      </c>
      <c r="G52" s="3" t="s">
        <v>29</v>
      </c>
      <c r="H52" s="3">
        <v>3</v>
      </c>
      <c r="I52" s="3">
        <v>1500</v>
      </c>
      <c r="J52" s="3" t="s">
        <v>18</v>
      </c>
      <c r="K52" s="3">
        <v>300</v>
      </c>
      <c r="L52" s="6" t="s">
        <v>30</v>
      </c>
      <c r="M52" s="3">
        <f>Table16[[#This Row],[Quantity]]*Table16[[#This Row],[Unit_Price]]</f>
        <v>4500</v>
      </c>
      <c r="N52" s="3">
        <f>Table16[[#This Row],[Revenue2]]-Table16[[#This Row],[Expense]]</f>
        <v>4200</v>
      </c>
    </row>
    <row r="53" spans="1:14">
      <c r="A53" s="5">
        <v>1030</v>
      </c>
      <c r="B53" s="4">
        <v>46037</v>
      </c>
      <c r="C53" s="3" t="s">
        <v>31</v>
      </c>
      <c r="D53" s="3" t="s">
        <v>32</v>
      </c>
      <c r="E53" s="3" t="s">
        <v>68</v>
      </c>
      <c r="F53" s="3" t="s">
        <v>28</v>
      </c>
      <c r="G53" s="3" t="s">
        <v>29</v>
      </c>
      <c r="H53" s="3">
        <v>3</v>
      </c>
      <c r="I53" s="3">
        <v>1500</v>
      </c>
      <c r="J53" s="3" t="s">
        <v>18</v>
      </c>
      <c r="K53" s="3">
        <v>300</v>
      </c>
      <c r="L53" s="6" t="s">
        <v>30</v>
      </c>
      <c r="M53" s="3">
        <f>Table16[[#This Row],[Quantity]]*Table16[[#This Row],[Unit_Price]]</f>
        <v>4500</v>
      </c>
      <c r="N53" s="3">
        <f>Table16[[#This Row],[Revenue2]]-Table16[[#This Row],[Expense]]</f>
        <v>4200</v>
      </c>
    </row>
    <row r="54" spans="1:14">
      <c r="A54" s="5">
        <v>1012</v>
      </c>
      <c r="B54" s="4">
        <v>46028</v>
      </c>
      <c r="C54" s="3" t="s">
        <v>31</v>
      </c>
      <c r="D54" s="3" t="s">
        <v>32</v>
      </c>
      <c r="E54" s="3" t="s">
        <v>50</v>
      </c>
      <c r="F54" s="3" t="s">
        <v>28</v>
      </c>
      <c r="G54" s="3" t="s">
        <v>29</v>
      </c>
      <c r="H54" s="3">
        <v>3</v>
      </c>
      <c r="I54" s="3">
        <v>1500</v>
      </c>
      <c r="J54" s="3" t="s">
        <v>18</v>
      </c>
      <c r="K54" s="3">
        <v>300</v>
      </c>
      <c r="L54" s="6" t="s">
        <v>30</v>
      </c>
      <c r="M54" s="3">
        <f>Table16[[#This Row],[Quantity]]*Table16[[#This Row],[Unit_Price]]</f>
        <v>4500</v>
      </c>
      <c r="N54" s="3">
        <f>Table16[[#This Row],[Revenue2]]-Table16[[#This Row],[Expense]]</f>
        <v>4200</v>
      </c>
    </row>
    <row r="55" spans="1:14">
      <c r="A55" s="5">
        <v>1047</v>
      </c>
      <c r="B55" s="4">
        <v>46046</v>
      </c>
      <c r="C55" s="3" t="s">
        <v>36</v>
      </c>
      <c r="D55" s="3" t="s">
        <v>37</v>
      </c>
      <c r="E55" s="3" t="s">
        <v>59</v>
      </c>
      <c r="F55" s="3" t="s">
        <v>28</v>
      </c>
      <c r="G55" s="3" t="s">
        <v>29</v>
      </c>
      <c r="H55" s="3">
        <v>2</v>
      </c>
      <c r="I55" s="3">
        <v>1600</v>
      </c>
      <c r="J55" s="3" t="s">
        <v>18</v>
      </c>
      <c r="K55" s="3">
        <v>200</v>
      </c>
      <c r="L55" s="6" t="s">
        <v>40</v>
      </c>
      <c r="M55" s="3">
        <f>Table16[[#This Row],[Quantity]]*Table16[[#This Row],[Unit_Price]]</f>
        <v>3200</v>
      </c>
      <c r="N55" s="3">
        <f>Table16[[#This Row],[Revenue2]]-Table16[[#This Row],[Expense]]</f>
        <v>3000</v>
      </c>
    </row>
    <row r="56" spans="1:14">
      <c r="A56" s="10">
        <v>1023</v>
      </c>
      <c r="B56" s="11">
        <v>46034</v>
      </c>
      <c r="C56" s="12" t="s">
        <v>36</v>
      </c>
      <c r="D56" s="12" t="s">
        <v>37</v>
      </c>
      <c r="E56" s="12" t="s">
        <v>61</v>
      </c>
      <c r="F56" s="12" t="s">
        <v>28</v>
      </c>
      <c r="G56" s="12" t="s">
        <v>29</v>
      </c>
      <c r="H56" s="12">
        <v>2</v>
      </c>
      <c r="I56" s="12">
        <v>1600</v>
      </c>
      <c r="J56" s="12" t="s">
        <v>18</v>
      </c>
      <c r="K56" s="12">
        <v>200</v>
      </c>
      <c r="L56" s="13" t="s">
        <v>40</v>
      </c>
      <c r="M56" s="12">
        <f>Table16[[#This Row],[Quantity]]*Table16[[#This Row],[Unit_Price]]</f>
        <v>3200</v>
      </c>
      <c r="N56" s="12">
        <f>Table16[[#This Row],[Revenue2]]-Table16[[#This Row],[Expense]]</f>
        <v>3000</v>
      </c>
    </row>
    <row r="57" spans="1:14">
      <c r="F57" s="32"/>
    </row>
    <row r="58" spans="1:14">
      <c r="F58" s="32"/>
    </row>
    <row r="62" spans="1:14" ht="23.4">
      <c r="F62" s="30"/>
    </row>
    <row r="66" spans="6:9">
      <c r="F66" s="33"/>
      <c r="G66" s="33"/>
      <c r="H66" s="33"/>
      <c r="I66" s="33"/>
    </row>
    <row r="67" spans="6:9">
      <c r="F67" s="34"/>
      <c r="G67" s="34"/>
      <c r="H67" s="34"/>
      <c r="I67" s="34"/>
    </row>
    <row r="68" spans="6:9">
      <c r="F68" s="34"/>
      <c r="G68" s="34"/>
      <c r="H68" s="34"/>
      <c r="I68" s="34"/>
    </row>
    <row r="69" spans="6:9">
      <c r="F69" s="34"/>
      <c r="G69" s="34"/>
      <c r="H69" s="34"/>
      <c r="I69" s="34"/>
    </row>
    <row r="72" spans="6:9" ht="23.4">
      <c r="F72" s="30"/>
    </row>
    <row r="78" spans="6:9" ht="31.2">
      <c r="F78" s="15"/>
    </row>
    <row r="80" spans="6:9" ht="23.4">
      <c r="F80" s="30"/>
    </row>
    <row r="84" spans="6:6" ht="18">
      <c r="F84" s="16"/>
    </row>
    <row r="85" spans="6:6">
      <c r="F85" s="25"/>
    </row>
    <row r="86" spans="6:6">
      <c r="F86" s="25"/>
    </row>
    <row r="90" spans="6:6" ht="23.4">
      <c r="F90" s="30"/>
    </row>
    <row r="96" spans="6:6" ht="31.2">
      <c r="F96" s="15"/>
    </row>
    <row r="98" spans="6:6" ht="23.4">
      <c r="F98" s="30"/>
    </row>
    <row r="102" spans="6:6" ht="18">
      <c r="F102" s="16"/>
    </row>
    <row r="103" spans="6:6">
      <c r="F103" s="14"/>
    </row>
    <row r="104" spans="6:6">
      <c r="F104" s="31"/>
    </row>
    <row r="108" spans="6:6" ht="23.4">
      <c r="F108" s="30"/>
    </row>
    <row r="114" spans="6:6" ht="31.2">
      <c r="F114" s="15"/>
    </row>
    <row r="116" spans="6:6" ht="23.4">
      <c r="F116" s="30"/>
    </row>
    <row r="120" spans="6:6" ht="18">
      <c r="F120" s="16"/>
    </row>
    <row r="121" spans="6:6">
      <c r="F121" s="25"/>
    </row>
    <row r="122" spans="6:6">
      <c r="F122" s="25"/>
    </row>
    <row r="126" spans="6:6" ht="23.4">
      <c r="F126" s="30"/>
    </row>
    <row r="132" spans="6:6" ht="31.2">
      <c r="F132" s="15"/>
    </row>
    <row r="134" spans="6:6" ht="23.4">
      <c r="F134" s="30"/>
    </row>
    <row r="135" spans="6:6">
      <c r="F135" s="25"/>
    </row>
    <row r="136" spans="6:6">
      <c r="F136" s="25"/>
    </row>
    <row r="137" spans="6:6">
      <c r="F137" s="25"/>
    </row>
    <row r="138" spans="6:6">
      <c r="F138" s="25"/>
    </row>
    <row r="139" spans="6:6">
      <c r="F139" s="25"/>
    </row>
    <row r="140" spans="6:6">
      <c r="F140" s="25"/>
    </row>
    <row r="144" spans="6:6" ht="31.2">
      <c r="F144" s="15"/>
    </row>
    <row r="155" spans="6:6" ht="31.2">
      <c r="F155" s="15"/>
    </row>
    <row r="158" spans="6:6">
      <c r="F158" s="25"/>
    </row>
    <row r="159" spans="6:6">
      <c r="F159" s="25"/>
    </row>
    <row r="163" spans="6:6" ht="31.2">
      <c r="F163" s="15"/>
    </row>
    <row r="171" spans="6:6" ht="31.2">
      <c r="F171" s="15"/>
    </row>
    <row r="181" spans="6:6">
      <c r="F181" s="1"/>
    </row>
  </sheetData>
  <mergeCells count="5">
    <mergeCell ref="O27:P27"/>
    <mergeCell ref="T15:X15"/>
    <mergeCell ref="O12:P12"/>
    <mergeCell ref="P2:AA2"/>
    <mergeCell ref="G1:Q1"/>
  </mergeCells>
  <pageMargins left="0.7" right="0.7" top="0.75" bottom="0.75" header="0.3" footer="0.3"/>
  <drawing r:id="rId3"/>
  <legacyDrawing r:id="rId4"/>
  <controls>
    <mc:AlternateContent xmlns:mc="http://schemas.openxmlformats.org/markup-compatibility/2006">
      <mc:Choice Requires="x14">
        <control shapeId="4097" r:id="rId5" name="Control 1">
          <controlPr defaultSize="0" r:id="rId6">
            <anchor moveWithCells="1">
              <from>
                <xdr:col>5</xdr:col>
                <xdr:colOff>0</xdr:colOff>
                <xdr:row>182</xdr:row>
                <xdr:rowOff>0</xdr:rowOff>
              </from>
              <to>
                <xdr:col>8</xdr:col>
                <xdr:colOff>541020</xdr:colOff>
                <xdr:row>186</xdr:row>
                <xdr:rowOff>175260</xdr:rowOff>
              </to>
            </anchor>
          </controlPr>
        </control>
      </mc:Choice>
      <mc:Fallback>
        <control shapeId="4097" r:id="rId5" name="Control 1"/>
      </mc:Fallback>
    </mc:AlternateContent>
  </controls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sheet</vt:lpstr>
      <vt:lpstr>OPERATIONS EXECUTIVE ROLE 	</vt:lpstr>
      <vt:lpstr>MIS EXECUTIVE - REPORTING EXECU</vt:lpstr>
      <vt:lpstr>powerbi desktop</vt:lpstr>
      <vt:lpstr>Accounts MIS Executive Finance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S</dc:creator>
  <cp:lastModifiedBy>Jayashree S</cp:lastModifiedBy>
  <dcterms:created xsi:type="dcterms:W3CDTF">2026-03-26T08:00:18Z</dcterms:created>
  <dcterms:modified xsi:type="dcterms:W3CDTF">2026-03-27T04:46:22Z</dcterms:modified>
</cp:coreProperties>
</file>